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Tabelle1" sheetId="2" r:id="rId5"/>
    <sheet name="Feuil1" sheetId="3" r:id="rId6"/>
  </sheets>
</workbook>
</file>

<file path=xl/sharedStrings.xml><?xml version="1.0" encoding="utf-8"?>
<sst xmlns="http://schemas.openxmlformats.org/spreadsheetml/2006/main" uniqueCount="35">
  <si>
    <t>Este documento se ha exportado desde Numbers. Cada tabla se ha convertido en una hoja de cálculo de Excel. Los demás objetos de las hojas de Numbers se han colocado en distintas hojas de cálculo. Recuerda que el cálculo de fórmulas puede ser diferente en Excel.</t>
  </si>
  <si>
    <t>Nombre de hoja de Numbers</t>
  </si>
  <si>
    <t>Nombre de tabla de Numbers</t>
  </si>
  <si>
    <t>Nombre de hoja de cálculo de Excel</t>
  </si>
  <si>
    <t>Tabelle1</t>
  </si>
  <si>
    <t>Tabla 1</t>
  </si>
  <si>
    <t>Mun</t>
  </si>
  <si>
    <t>g</t>
  </si>
  <si>
    <t>V</t>
  </si>
  <si>
    <t>E</t>
  </si>
  <si>
    <t>p</t>
  </si>
  <si>
    <t>D</t>
  </si>
  <si>
    <t>D STANAG</t>
  </si>
  <si>
    <t>9x19mm</t>
  </si>
  <si>
    <t>v STANAG</t>
  </si>
  <si>
    <t>FSP 5,56</t>
  </si>
  <si>
    <t>,357 SIG</t>
  </si>
  <si>
    <t>9,1 x 22</t>
  </si>
  <si>
    <t>,357 Magnum</t>
  </si>
  <si>
    <t>FSP 7,62</t>
  </si>
  <si>
    <t>5,56 x39 7N6 MSC</t>
  </si>
  <si>
    <t>5,56 x 45nn SS109</t>
  </si>
  <si>
    <t>FSP 12,7</t>
  </si>
  <si>
    <t>7,62 x 39 PS</t>
  </si>
  <si>
    <t>FSP 20</t>
  </si>
  <si>
    <t>7,62 x 51 M80</t>
  </si>
  <si>
    <t>,338 lapua</t>
  </si>
  <si>
    <t>8,58 x 71</t>
  </si>
  <si>
    <t>12,7 x 99 mm</t>
  </si>
  <si>
    <t>12,7x108</t>
  </si>
  <si>
    <t>14,5x114</t>
  </si>
  <si>
    <t>Feuil1</t>
  </si>
  <si>
    <t>FSP</t>
  </si>
  <si>
    <t>mass</t>
  </si>
  <si>
    <t>drag</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</si>
</sst>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0"/>
      <color indexed="8"/>
      <name val="Calibri"/>
    </font>
    <font>
      <sz val="9"/>
      <color indexed="15"/>
      <name val="Calibri"/>
    </font>
    <font>
      <sz val="10"/>
      <color indexed="15"/>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1" applyNumberFormat="1" applyFont="1" applyFill="0" applyBorder="1" applyAlignment="1" applyProtection="0">
      <alignment vertical="bottom"/>
    </xf>
    <xf numFmtId="1" fontId="0" borderId="1" applyNumberFormat="1"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d8d8d8"/>
      <rgbColor rgb="ff595959"/>
      <rgbColor rgb="ffbfbfbf"/>
      <rgbColor rgb="ff255d91"/>
      <rgbColor rgb="ff9d480d"/>
      <rgbColor rgb="ff636363"/>
      <rgbColor rgb="ff997300"/>
      <rgbColor rgb="ff254378"/>
      <rgbColor rgb="ff43672a"/>
      <rgbColor rgb="ff7bafdd"/>
      <rgbColor rgb="fff0965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72368"/>
          <c:y val="0.0271558"/>
          <c:w val="0.728852"/>
          <c:h val="0.878056"/>
        </c:manualLayout>
      </c:layout>
      <c:scatterChart>
        <c:scatterStyle val="smoothMarker"/>
        <c:varyColors val="0"/>
        <c:ser>
          <c:idx val="0"/>
          <c:order val="0"/>
          <c:tx>
            <c:strRef>
              <c:f>'Tabelle1'!$A$2</c:f>
              <c:strCache>
                <c:ptCount val="1"/>
                <c:pt idx="0">
                  <c:v>9x19mm</c:v>
                </c:pt>
              </c:strCache>
            </c:strRef>
          </c:tx>
          <c:spPr>
            <a:noFill/>
            <a:ln w="19050" cap="rnd">
              <a:solidFill>
                <a:schemeClr val="accent1"/>
              </a:solidFill>
              <a:prstDash val="solid"/>
              <a:round/>
            </a:ln>
            <a:effectLst/>
          </c:spPr>
          <c:marker>
            <c:symbol val="none"/>
            <c:size val="4"/>
            <c:spPr>
              <a:noFill/>
              <a:ln w="19050" cap="rnd">
                <a:solidFill>
                  <a:schemeClr val="accent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'Tabelle1'!$F$2:$F$5</c:f>
              <c:numCache>
                <c:ptCount val="4"/>
                <c:pt idx="0">
                  <c:v>0.000000</c:v>
                </c:pt>
                <c:pt idx="1">
                  <c:v>10.000000</c:v>
                </c:pt>
                <c:pt idx="2">
                  <c:v>25.000000</c:v>
                </c:pt>
                <c:pt idx="3">
                  <c:v>50.000000</c:v>
                </c:pt>
              </c:numCache>
            </c:numRef>
          </c:xVal>
          <c:yVal>
            <c:numRef>
              <c:f>'Tabelle1'!$D$2:$D$5</c:f>
              <c:numCache>
                <c:ptCount val="4"/>
                <c:pt idx="0">
                  <c:v>583.000000</c:v>
                </c:pt>
                <c:pt idx="1">
                  <c:v>565.000000</c:v>
                </c:pt>
                <c:pt idx="2">
                  <c:v>545.000000</c:v>
                </c:pt>
                <c:pt idx="3">
                  <c:v>506.000000</c:v>
                </c:pt>
              </c:numCache>
            </c:numRef>
          </c:yVal>
          <c:smooth val="1"/>
        </c:ser>
        <c:ser>
          <c:idx val="1"/>
          <c:order val="1"/>
          <c:tx>
            <c:strRef>
              <c:f>'Tabelle1'!$A$7</c:f>
              <c:strCache/>
            </c:strRef>
          </c:tx>
          <c:spPr>
            <a:noFill/>
            <a:ln w="19050" cap="rnd">
              <a:solidFill>
                <a:schemeClr val="accent2"/>
              </a:solidFill>
              <a:prstDash val="solid"/>
              <a:round/>
            </a:ln>
            <a:effectLst/>
          </c:spPr>
          <c:marker>
            <c:symbol val="none"/>
            <c:size val="4"/>
            <c:spPr>
              <a:noFill/>
              <a:ln w="19050" cap="rnd">
                <a:solidFill>
                  <a:schemeClr val="accent2"/>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'Tabelle1'!$F$8:$F$12</c:f>
              <c:numCache>
                <c:ptCount val="5"/>
                <c:pt idx="0">
                  <c:v>0.000000</c:v>
                </c:pt>
                <c:pt idx="1">
                  <c:v>25.000000</c:v>
                </c:pt>
                <c:pt idx="2">
                  <c:v>50.000000</c:v>
                </c:pt>
                <c:pt idx="3">
                  <c:v>75.000000</c:v>
                </c:pt>
                <c:pt idx="4">
                  <c:v>100.000000</c:v>
                </c:pt>
              </c:numCache>
            </c:numRef>
          </c:xVal>
          <c:yVal>
            <c:numRef>
              <c:f>'Tabelle1'!$D$8:$D$12</c:f>
              <c:numCache>
                <c:ptCount val="5"/>
                <c:pt idx="0">
                  <c:v>683.000000</c:v>
                </c:pt>
                <c:pt idx="1">
                  <c:v>602.000000</c:v>
                </c:pt>
                <c:pt idx="2">
                  <c:v>533.000000</c:v>
                </c:pt>
                <c:pt idx="3">
                  <c:v>478.000000</c:v>
                </c:pt>
                <c:pt idx="4">
                  <c:v>438.000000</c:v>
                </c:pt>
              </c:numCache>
            </c:numRef>
          </c:yVal>
          <c:smooth val="1"/>
        </c:ser>
        <c:ser>
          <c:idx val="2"/>
          <c:order val="2"/>
          <c:tx>
            <c:strRef>
              <c:f>'Tabelle1'!$A$14</c:f>
              <c:strCache>
                <c:ptCount val="1"/>
                <c:pt idx="0">
                  <c:v>,357 Magnum</c:v>
                </c:pt>
              </c:strCache>
            </c:strRef>
          </c:tx>
          <c:spPr>
            <a:noFill/>
            <a:ln w="19050" cap="rnd">
              <a:solidFill>
                <a:schemeClr val="accent3"/>
              </a:solidFill>
              <a:prstDash val="solid"/>
              <a:round/>
            </a:ln>
            <a:effectLst/>
          </c:spPr>
          <c:marker>
            <c:symbol val="none"/>
            <c:size val="4"/>
            <c:spPr>
              <a:noFill/>
              <a:ln w="19050" cap="rnd">
                <a:solidFill>
                  <a:schemeClr val="accent3"/>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'Tabelle1'!$F$14:$F$17</c:f>
              <c:numCache>
                <c:ptCount val="4"/>
                <c:pt idx="0">
                  <c:v>0.000000</c:v>
                </c:pt>
                <c:pt idx="1">
                  <c:v>10.000000</c:v>
                </c:pt>
                <c:pt idx="2">
                  <c:v>25.000000</c:v>
                </c:pt>
                <c:pt idx="3">
                  <c:v>50.000000</c:v>
                </c:pt>
              </c:numCache>
            </c:numRef>
          </c:xVal>
          <c:yVal>
            <c:numRef>
              <c:f>'Tabelle1'!$C$14:$C$17</c:f>
              <c:numCache>
                <c:ptCount val="4"/>
                <c:pt idx="0">
                  <c:v>453.000000</c:v>
                </c:pt>
                <c:pt idx="1">
                  <c:v>435.000000</c:v>
                </c:pt>
                <c:pt idx="2">
                  <c:v>420.000000</c:v>
                </c:pt>
                <c:pt idx="3">
                  <c:v>395.000000</c:v>
                </c:pt>
              </c:numCache>
            </c:numRef>
          </c:yVal>
          <c:smooth val="1"/>
        </c:ser>
        <c:ser>
          <c:idx val="3"/>
          <c:order val="3"/>
          <c:tx>
            <c:strRef>
              <c:f>'Tabelle1'!$A$19</c:f>
              <c:strCache>
                <c:ptCount val="1"/>
                <c:pt idx="0">
                  <c:v>5,56 x39 7N6 MSC</c:v>
                </c:pt>
              </c:strCache>
            </c:strRef>
          </c:tx>
          <c:spPr>
            <a:noFill/>
            <a:ln w="19050" cap="rnd">
              <a:solidFill>
                <a:schemeClr val="accent4"/>
              </a:solidFill>
              <a:prstDash val="solid"/>
              <a:round/>
            </a:ln>
            <a:effectLst/>
          </c:spPr>
          <c:marker>
            <c:symbol val="none"/>
            <c:size val="4"/>
            <c:spPr>
              <a:noFill/>
              <a:ln w="19050" cap="rnd">
                <a:solidFill>
                  <a:schemeClr val="accent4"/>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'Tabelle1'!$F$19:$F$24</c:f>
              <c:numCache>
                <c:ptCount val="6"/>
                <c:pt idx="0">
                  <c:v>0.000000</c:v>
                </c:pt>
                <c:pt idx="1">
                  <c:v>100.000000</c:v>
                </c:pt>
                <c:pt idx="2">
                  <c:v>200.000000</c:v>
                </c:pt>
                <c:pt idx="3">
                  <c:v>300.000000</c:v>
                </c:pt>
                <c:pt idx="4">
                  <c:v>400.000000</c:v>
                </c:pt>
                <c:pt idx="5">
                  <c:v>500.000000</c:v>
                </c:pt>
              </c:numCache>
            </c:numRef>
          </c:xVal>
          <c:yVal>
            <c:numRef>
              <c:f>'Tabelle1'!$D$19:$D$24</c:f>
              <c:numCache>
                <c:ptCount val="6"/>
                <c:pt idx="0">
                  <c:v>1417.000000</c:v>
                </c:pt>
                <c:pt idx="1">
                  <c:v>1105.000000</c:v>
                </c:pt>
                <c:pt idx="2">
                  <c:v>873.000000</c:v>
                </c:pt>
                <c:pt idx="3">
                  <c:v>677.000000</c:v>
                </c:pt>
                <c:pt idx="4">
                  <c:v>519.000000</c:v>
                </c:pt>
                <c:pt idx="5">
                  <c:v>384.000000</c:v>
                </c:pt>
              </c:numCache>
            </c:numRef>
          </c:yVal>
          <c:smooth val="1"/>
        </c:ser>
        <c:ser>
          <c:idx val="4"/>
          <c:order val="4"/>
          <c:tx>
            <c:strRef>
              <c:f>'Tabelle1'!$A$26</c:f>
              <c:strCache>
                <c:ptCount val="1"/>
                <c:pt idx="0">
                  <c:v>5,56 x 45nn SS109</c:v>
                </c:pt>
              </c:strCache>
            </c:strRef>
          </c:tx>
          <c:spPr>
            <a:noFill/>
            <a:ln w="19050" cap="rnd">
              <a:solidFill>
                <a:schemeClr val="accent5"/>
              </a:solidFill>
              <a:prstDash val="solid"/>
              <a:round/>
            </a:ln>
            <a:effectLst/>
          </c:spPr>
          <c:marker>
            <c:symbol val="none"/>
            <c:size val="4"/>
            <c:spPr>
              <a:noFill/>
              <a:ln w="19050" cap="rnd">
                <a:solidFill>
                  <a:schemeClr val="accent5"/>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'Tabelle1'!$F$26:$F$31</c:f>
              <c:numCache>
                <c:ptCount val="6"/>
                <c:pt idx="0">
                  <c:v>0.000000</c:v>
                </c:pt>
                <c:pt idx="1">
                  <c:v>100.000000</c:v>
                </c:pt>
                <c:pt idx="2">
                  <c:v>200.000000</c:v>
                </c:pt>
                <c:pt idx="3">
                  <c:v>300.000000</c:v>
                </c:pt>
                <c:pt idx="4">
                  <c:v>400.000000</c:v>
                </c:pt>
                <c:pt idx="5">
                  <c:v>500.000000</c:v>
                </c:pt>
              </c:numCache>
            </c:numRef>
          </c:xVal>
          <c:yVal>
            <c:numRef>
              <c:f>'Tabelle1'!$D$26:$D$31</c:f>
              <c:numCache>
                <c:ptCount val="6"/>
                <c:pt idx="0">
                  <c:v>1708.000000</c:v>
                </c:pt>
                <c:pt idx="1">
                  <c:v>1367.000000</c:v>
                </c:pt>
                <c:pt idx="2">
                  <c:v>1081.000000</c:v>
                </c:pt>
                <c:pt idx="3">
                  <c:v>834.000000</c:v>
                </c:pt>
                <c:pt idx="4">
                  <c:v>650.000000</c:v>
                </c:pt>
                <c:pt idx="5">
                  <c:v>494.000000</c:v>
                </c:pt>
              </c:numCache>
            </c:numRef>
          </c:yVal>
          <c:smooth val="1"/>
        </c:ser>
        <c:ser>
          <c:idx val="5"/>
          <c:order val="5"/>
          <c:tx>
            <c:strRef>
              <c:f>'Tabelle1'!$A$40</c:f>
              <c:strCache>
                <c:ptCount val="1"/>
                <c:pt idx="0">
                  <c:v>7,62 x 51 M80</c:v>
                </c:pt>
              </c:strCache>
            </c:strRef>
          </c:tx>
          <c:spPr>
            <a:noFill/>
            <a:ln w="19050" cap="rnd">
              <a:solidFill>
                <a:schemeClr val="accent6"/>
              </a:solidFill>
              <a:prstDash val="solid"/>
              <a:round/>
            </a:ln>
            <a:effectLst/>
          </c:spPr>
          <c:marker>
            <c:symbol val="none"/>
            <c:size val="4"/>
            <c:spPr>
              <a:noFill/>
              <a:ln w="19050" cap="rnd">
                <a:solidFill>
                  <a:schemeClr val="accent6"/>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'Tabelle1'!$F$40:$F$45</c:f>
              <c:numCache>
                <c:ptCount val="6"/>
                <c:pt idx="0">
                  <c:v>0.000000</c:v>
                </c:pt>
                <c:pt idx="1">
                  <c:v>100.000000</c:v>
                </c:pt>
                <c:pt idx="2">
                  <c:v>200.000000</c:v>
                </c:pt>
                <c:pt idx="3">
                  <c:v>300.000000</c:v>
                </c:pt>
                <c:pt idx="4">
                  <c:v>400.000000</c:v>
                </c:pt>
                <c:pt idx="5">
                  <c:v>500.000000</c:v>
                </c:pt>
              </c:numCache>
            </c:numRef>
          </c:xVal>
          <c:yVal>
            <c:numRef>
              <c:f>'Tabelle1'!$D$40:$D$45</c:f>
              <c:numCache>
                <c:ptCount val="6"/>
                <c:pt idx="0">
                  <c:v>3519.000000</c:v>
                </c:pt>
                <c:pt idx="1">
                  <c:v>2920.000000</c:v>
                </c:pt>
                <c:pt idx="2">
                  <c:v>2425.000000</c:v>
                </c:pt>
                <c:pt idx="3">
                  <c:v>1988.000000</c:v>
                </c:pt>
                <c:pt idx="4">
                  <c:v>1612.000000</c:v>
                </c:pt>
                <c:pt idx="5">
                  <c:v>1295.000000</c:v>
                </c:pt>
              </c:numCache>
            </c:numRef>
          </c:yVal>
          <c:smooth val="1"/>
        </c:ser>
        <c:ser>
          <c:idx val="6"/>
          <c:order val="6"/>
          <c:tx>
            <c:strRef>
              <c:f>'Tabelle1'!$A$47</c:f>
              <c:strCache>
                <c:ptCount val="1"/>
                <c:pt idx="0">
                  <c:v>,338 lapua</c:v>
                </c:pt>
              </c:strCache>
            </c:strRef>
          </c:tx>
          <c:spPr>
            <a:noFill/>
            <a:ln w="19050" cap="rnd">
              <a:solidFill>
                <a:srgbClr val="255E91"/>
              </a:solidFill>
              <a:prstDash val="solid"/>
              <a:round/>
            </a:ln>
            <a:effectLst/>
          </c:spPr>
          <c:marker>
            <c:symbol val="none"/>
            <c:size val="4"/>
            <c:spPr>
              <a:noFill/>
              <a:ln w="19050" cap="rnd">
                <a:solidFill>
                  <a:srgbClr val="255E9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'Tabelle1'!$F$47:$F$57</c:f>
              <c:numCache>
                <c:ptCount val="11"/>
                <c:pt idx="0">
                  <c:v>0.000000</c:v>
                </c:pt>
                <c:pt idx="1">
                  <c:v>200.000000</c:v>
                </c:pt>
                <c:pt idx="2">
                  <c:v>400.000000</c:v>
                </c:pt>
                <c:pt idx="3">
                  <c:v>600.000000</c:v>
                </c:pt>
                <c:pt idx="4">
                  <c:v>800.000000</c:v>
                </c:pt>
                <c:pt idx="5">
                  <c:v>1000.000000</c:v>
                </c:pt>
                <c:pt idx="6">
                  <c:v>1200.000000</c:v>
                </c:pt>
                <c:pt idx="7">
                  <c:v>1400.000000</c:v>
                </c:pt>
                <c:pt idx="8">
                  <c:v>1600.000000</c:v>
                </c:pt>
                <c:pt idx="9">
                  <c:v>1800.000000</c:v>
                </c:pt>
                <c:pt idx="10">
                  <c:v>2000.000000</c:v>
                </c:pt>
              </c:numCache>
            </c:numRef>
          </c:xVal>
          <c:yVal>
            <c:numRef>
              <c:f>'Tabelle1'!$D$47:$D$57</c:f>
              <c:numCache>
                <c:ptCount val="11"/>
                <c:pt idx="0">
                  <c:v>6766.000000</c:v>
                </c:pt>
                <c:pt idx="1">
                  <c:v>5318.000000</c:v>
                </c:pt>
                <c:pt idx="2">
                  <c:v>4127.000000</c:v>
                </c:pt>
                <c:pt idx="3">
                  <c:v>3156.000000</c:v>
                </c:pt>
                <c:pt idx="4">
                  <c:v>2375.000000</c:v>
                </c:pt>
                <c:pt idx="5">
                  <c:v>1769.000000</c:v>
                </c:pt>
                <c:pt idx="6">
                  <c:v>1321.000000</c:v>
                </c:pt>
                <c:pt idx="7">
                  <c:v>1015.000000</c:v>
                </c:pt>
                <c:pt idx="8">
                  <c:v>828.000000</c:v>
                </c:pt>
                <c:pt idx="9">
                  <c:v>710.000000</c:v>
                </c:pt>
                <c:pt idx="10">
                  <c:v>626.000000</c:v>
                </c:pt>
              </c:numCache>
            </c:numRef>
          </c:yVal>
          <c:smooth val="1"/>
        </c:ser>
        <c:ser>
          <c:idx val="7"/>
          <c:order val="7"/>
          <c:tx>
            <c:strRef>
              <c:f>'Tabelle1'!$L$3</c:f>
              <c:strCache>
                <c:ptCount val="1"/>
                <c:pt idx="0">
                  <c:v>FSP 5,56</c:v>
                </c:pt>
              </c:strCache>
            </c:strRef>
          </c:tx>
          <c:spPr>
            <a:noFill/>
            <a:ln w="19050" cap="rnd">
              <a:solidFill>
                <a:srgbClr val="9E480E"/>
              </a:solidFill>
              <a:prstDash val="solid"/>
              <a:round/>
            </a:ln>
            <a:effectLst/>
          </c:spPr>
          <c:marker>
            <c:symbol val="none"/>
            <c:size val="4"/>
            <c:spPr>
              <a:noFill/>
              <a:ln w="19050" cap="rnd">
                <a:solidFill>
                  <a:srgbClr val="9E480E"/>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'Tabelle1'!$P$4:$P$10</c:f>
              <c:numCache>
                <c:ptCount val="7"/>
                <c:pt idx="0">
                  <c:v>0.000000</c:v>
                </c:pt>
                <c:pt idx="1">
                  <c:v>10.000000</c:v>
                </c:pt>
                <c:pt idx="2">
                  <c:v>20.000000</c:v>
                </c:pt>
                <c:pt idx="3">
                  <c:v>40.000000</c:v>
                </c:pt>
                <c:pt idx="4">
                  <c:v>50.000000</c:v>
                </c:pt>
                <c:pt idx="5">
                  <c:v>100.000000</c:v>
                </c:pt>
                <c:pt idx="6">
                  <c:v>200.000000</c:v>
                </c:pt>
              </c:numCache>
            </c:numRef>
          </c:xVal>
          <c:yVal>
            <c:numRef>
              <c:f>'Tabelle1'!$O$4:$O$10</c:f>
              <c:numCache>
                <c:ptCount val="5"/>
                <c:pt idx="0">
                  <c:v>550.000000</c:v>
                </c:pt>
                <c:pt idx="1">
                  <c:v>375.157997</c:v>
                </c:pt>
                <c:pt idx="2">
                  <c:v>174.548952</c:v>
                </c:pt>
                <c:pt idx="3">
                  <c:v>37.785339</c:v>
                </c:pt>
                <c:pt idx="4">
                  <c:v>5.579315</c:v>
                </c:pt>
              </c:numCache>
            </c:numRef>
          </c:yVal>
          <c:smooth val="1"/>
        </c:ser>
        <c:ser>
          <c:idx val="8"/>
          <c:order val="8"/>
          <c:tx>
            <c:strRef>
              <c:f>'Tabelle1'!$L$15</c:f>
              <c:strCache>
                <c:ptCount val="1"/>
                <c:pt idx="0">
                  <c:v>FSP 7,62</c:v>
                </c:pt>
              </c:strCache>
            </c:strRef>
          </c:tx>
          <c:spPr>
            <a:noFill/>
            <a:ln w="19050" cap="rnd">
              <a:solidFill>
                <a:srgbClr val="636363"/>
              </a:solidFill>
              <a:prstDash val="solid"/>
              <a:round/>
            </a:ln>
            <a:effectLst/>
          </c:spPr>
          <c:marker>
            <c:symbol val="none"/>
            <c:size val="4"/>
            <c:spPr>
              <a:noFill/>
              <a:ln w="19050" cap="rnd">
                <a:solidFill>
                  <a:srgbClr val="636363"/>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'Tabelle1'!$P$16:$P$22</c:f>
              <c:numCache>
                <c:ptCount val="7"/>
                <c:pt idx="0">
                  <c:v>0.000000</c:v>
                </c:pt>
                <c:pt idx="1">
                  <c:v>10.000000</c:v>
                </c:pt>
                <c:pt idx="2">
                  <c:v>20.000000</c:v>
                </c:pt>
                <c:pt idx="3">
                  <c:v>40.000000</c:v>
                </c:pt>
                <c:pt idx="4">
                  <c:v>50.000000</c:v>
                </c:pt>
                <c:pt idx="5">
                  <c:v>100.000000</c:v>
                </c:pt>
                <c:pt idx="6">
                  <c:v>200.000000</c:v>
                </c:pt>
              </c:numCache>
            </c:numRef>
          </c:xVal>
          <c:yVal>
            <c:numRef>
              <c:f>'Tabelle1'!$O$16:$O$22</c:f>
              <c:numCache>
                <c:ptCount val="7"/>
                <c:pt idx="0">
                  <c:v>1420.000000</c:v>
                </c:pt>
                <c:pt idx="1">
                  <c:v>1058.809039</c:v>
                </c:pt>
                <c:pt idx="2">
                  <c:v>789.490550</c:v>
                </c:pt>
                <c:pt idx="3">
                  <c:v>438.940372</c:v>
                </c:pt>
                <c:pt idx="4">
                  <c:v>327.291573</c:v>
                </c:pt>
                <c:pt idx="5">
                  <c:v>75.436460</c:v>
                </c:pt>
                <c:pt idx="6">
                  <c:v>4.007507</c:v>
                </c:pt>
              </c:numCache>
            </c:numRef>
          </c:yVal>
          <c:smooth val="1"/>
        </c:ser>
        <c:ser>
          <c:idx val="9"/>
          <c:order val="9"/>
          <c:tx>
            <c:strRef>
              <c:f>'Tabelle1'!$L$27</c:f>
              <c:strCache>
                <c:ptCount val="1"/>
                <c:pt idx="0">
                  <c:v>FSP 12,7</c:v>
                </c:pt>
              </c:strCache>
            </c:strRef>
          </c:tx>
          <c:spPr>
            <a:noFill/>
            <a:ln w="19050" cap="rnd">
              <a:solidFill>
                <a:srgbClr val="997300"/>
              </a:solidFill>
              <a:prstDash val="solid"/>
              <a:round/>
            </a:ln>
            <a:effectLst/>
          </c:spPr>
          <c:marker>
            <c:symbol val="none"/>
            <c:size val="4"/>
            <c:spPr>
              <a:noFill/>
              <a:ln w="19050" cap="rnd">
                <a:solidFill>
                  <a:srgbClr val="997300"/>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'Tabelle1'!$P$28:$P$34</c:f>
              <c:numCache>
                <c:ptCount val="7"/>
                <c:pt idx="0">
                  <c:v>0.000000</c:v>
                </c:pt>
                <c:pt idx="1">
                  <c:v>10.000000</c:v>
                </c:pt>
                <c:pt idx="2">
                  <c:v>20.000000</c:v>
                </c:pt>
                <c:pt idx="3">
                  <c:v>40.000000</c:v>
                </c:pt>
                <c:pt idx="4">
                  <c:v>50.000000</c:v>
                </c:pt>
                <c:pt idx="5">
                  <c:v>100.000000</c:v>
                </c:pt>
                <c:pt idx="6">
                  <c:v>200.000000</c:v>
                </c:pt>
              </c:numCache>
            </c:numRef>
          </c:xVal>
          <c:yVal>
            <c:numRef>
              <c:f>'Tabelle1'!$O$28:$O$34</c:f>
              <c:numCache>
                <c:ptCount val="7"/>
                <c:pt idx="0">
                  <c:v>6695.000000</c:v>
                </c:pt>
                <c:pt idx="1">
                  <c:v>5626.700584</c:v>
                </c:pt>
                <c:pt idx="2">
                  <c:v>4728.866238</c:v>
                </c:pt>
                <c:pt idx="3">
                  <c:v>3340.130828</c:v>
                </c:pt>
                <c:pt idx="4">
                  <c:v>2807.156995</c:v>
                </c:pt>
                <c:pt idx="5">
                  <c:v>1177.017236</c:v>
                </c:pt>
                <c:pt idx="6">
                  <c:v>206.926000</c:v>
                </c:pt>
              </c:numCache>
            </c:numRef>
          </c:yVal>
          <c:smooth val="1"/>
        </c:ser>
        <c:ser>
          <c:idx val="10"/>
          <c:order val="10"/>
          <c:tx>
            <c:strRef>
              <c:f>'Tabelle1'!$L$39</c:f>
              <c:strCache>
                <c:ptCount val="1"/>
                <c:pt idx="0">
                  <c:v>FSP 20</c:v>
                </c:pt>
              </c:strCache>
            </c:strRef>
          </c:tx>
          <c:spPr>
            <a:noFill/>
            <a:ln w="19050" cap="rnd">
              <a:solidFill>
                <a:srgbClr val="264478"/>
              </a:solidFill>
              <a:prstDash val="solid"/>
              <a:round/>
            </a:ln>
            <a:effectLst/>
          </c:spPr>
          <c:marker>
            <c:symbol val="none"/>
            <c:size val="4"/>
            <c:spPr>
              <a:noFill/>
              <a:ln w="19050" cap="rnd">
                <a:solidFill>
                  <a:srgbClr val="264478"/>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'Tabelle1'!$P$40:$P$46</c:f>
              <c:numCache>
                <c:ptCount val="7"/>
                <c:pt idx="0">
                  <c:v>0.000000</c:v>
                </c:pt>
                <c:pt idx="1">
                  <c:v>10.000000</c:v>
                </c:pt>
                <c:pt idx="2">
                  <c:v>20.000000</c:v>
                </c:pt>
                <c:pt idx="3">
                  <c:v>40.000000</c:v>
                </c:pt>
                <c:pt idx="4">
                  <c:v>50.000000</c:v>
                </c:pt>
                <c:pt idx="5">
                  <c:v>100.000000</c:v>
                </c:pt>
                <c:pt idx="6">
                  <c:v>200.000000</c:v>
                </c:pt>
              </c:numCache>
            </c:numRef>
          </c:xVal>
          <c:yVal>
            <c:numRef>
              <c:f>'Tabelle1'!$O$40:$O$46</c:f>
              <c:numCache>
                <c:ptCount val="7"/>
                <c:pt idx="0">
                  <c:v>26365.000000</c:v>
                </c:pt>
                <c:pt idx="1">
                  <c:v>20608.756811</c:v>
                </c:pt>
                <c:pt idx="2">
                  <c:v>16109.268246</c:v>
                </c:pt>
                <c:pt idx="3">
                  <c:v>9842.917634</c:v>
                </c:pt>
                <c:pt idx="4">
                  <c:v>7693.923605</c:v>
                </c:pt>
                <c:pt idx="5">
                  <c:v>2245.266847</c:v>
                </c:pt>
                <c:pt idx="6">
                  <c:v>191.208922</c:v>
                </c:pt>
              </c:numCache>
            </c:numRef>
          </c:yVal>
          <c:smooth val="1"/>
        </c:ser>
        <c:ser>
          <c:idx val="11"/>
          <c:order val="11"/>
          <c:tx>
            <c:strRef>
              <c:f>'Tabelle1'!$A$60</c:f>
              <c:strCache>
                <c:ptCount val="1"/>
                <c:pt idx="0">
                  <c:v>12,7 x 99 mm</c:v>
                </c:pt>
              </c:strCache>
            </c:strRef>
          </c:tx>
          <c:spPr>
            <a:noFill/>
            <a:ln w="19050" cap="rnd">
              <a:solidFill>
                <a:srgbClr val="43682B"/>
              </a:solidFill>
              <a:prstDash val="solid"/>
              <a:round/>
            </a:ln>
            <a:effectLst/>
          </c:spPr>
          <c:marker>
            <c:symbol val="none"/>
            <c:size val="4"/>
            <c:spPr>
              <a:noFill/>
              <a:ln w="19050" cap="rnd">
                <a:solidFill>
                  <a:srgbClr val="43682B"/>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'Tabelle1'!$F$61:$F$69</c:f>
              <c:numCache>
                <c:ptCount val="9"/>
                <c:pt idx="0">
                  <c:v>25.000000</c:v>
                </c:pt>
                <c:pt idx="1">
                  <c:v>100.000000</c:v>
                </c:pt>
                <c:pt idx="2">
                  <c:v>200.000000</c:v>
                </c:pt>
                <c:pt idx="3">
                  <c:v>300.000000</c:v>
                </c:pt>
                <c:pt idx="4">
                  <c:v>400.000000</c:v>
                </c:pt>
                <c:pt idx="5">
                  <c:v>800.000000</c:v>
                </c:pt>
                <c:pt idx="6">
                  <c:v>1200.000000</c:v>
                </c:pt>
                <c:pt idx="7">
                  <c:v>1600.000000</c:v>
                </c:pt>
                <c:pt idx="8">
                  <c:v>2000.000000</c:v>
                </c:pt>
              </c:numCache>
            </c:numRef>
          </c:xVal>
          <c:yVal>
            <c:numRef>
              <c:f>'Tabelle1'!$D$61:$D$69</c:f>
              <c:numCache>
                <c:ptCount val="9"/>
                <c:pt idx="0">
                  <c:v>17000.000000</c:v>
                </c:pt>
                <c:pt idx="1">
                  <c:v>15407.239339</c:v>
                </c:pt>
                <c:pt idx="2">
                  <c:v>13714.492382</c:v>
                </c:pt>
                <c:pt idx="3">
                  <c:v>12207.722432</c:v>
                </c:pt>
                <c:pt idx="4">
                  <c:v>10866.496756</c:v>
                </c:pt>
                <c:pt idx="5">
                  <c:v>6821.960318</c:v>
                </c:pt>
                <c:pt idx="6">
                  <c:v>4282.810148</c:v>
                </c:pt>
                <c:pt idx="7">
                  <c:v>2688.737827</c:v>
                </c:pt>
                <c:pt idx="8">
                  <c:v>1687.983089</c:v>
                </c:pt>
              </c:numCache>
            </c:numRef>
          </c:yVal>
          <c:smooth val="1"/>
        </c:ser>
        <c:ser>
          <c:idx val="12"/>
          <c:order val="12"/>
          <c:tx>
            <c:strRef>
              <c:f>'Tabelle1'!$A$73</c:f>
              <c:strCache>
                <c:ptCount val="1"/>
                <c:pt idx="0">
                  <c:v>12,7x108</c:v>
                </c:pt>
              </c:strCache>
            </c:strRef>
          </c:tx>
          <c:spPr>
            <a:noFill/>
            <a:ln w="19050" cap="rnd">
              <a:solidFill>
                <a:srgbClr val="7CAFDD"/>
              </a:solidFill>
              <a:prstDash val="solid"/>
              <a:round/>
            </a:ln>
            <a:effectLst/>
          </c:spPr>
          <c:marker>
            <c:symbol val="none"/>
            <c:size val="4"/>
            <c:spPr>
              <a:noFill/>
              <a:ln w="19050" cap="rnd">
                <a:solidFill>
                  <a:srgbClr val="7CAFDD"/>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'Tabelle1'!$F$73:$F$81</c:f>
              <c:numCache>
                <c:ptCount val="9"/>
                <c:pt idx="0">
                  <c:v>0.000000</c:v>
                </c:pt>
                <c:pt idx="1">
                  <c:v>100.000000</c:v>
                </c:pt>
                <c:pt idx="2">
                  <c:v>200.000000</c:v>
                </c:pt>
                <c:pt idx="3">
                  <c:v>300.000000</c:v>
                </c:pt>
                <c:pt idx="4">
                  <c:v>400.000000</c:v>
                </c:pt>
                <c:pt idx="5">
                  <c:v>800.000000</c:v>
                </c:pt>
                <c:pt idx="6">
                  <c:v>1200.000000</c:v>
                </c:pt>
                <c:pt idx="7">
                  <c:v>1600.000000</c:v>
                </c:pt>
                <c:pt idx="8">
                  <c:v>2000.000000</c:v>
                </c:pt>
              </c:numCache>
            </c:numRef>
          </c:xVal>
          <c:yVal>
            <c:numRef>
              <c:f>'Tabelle1'!$D$73:$D$81</c:f>
              <c:numCache>
                <c:ptCount val="9"/>
                <c:pt idx="0">
                  <c:v>16100.000000</c:v>
                </c:pt>
                <c:pt idx="1">
                  <c:v>14693.000000</c:v>
                </c:pt>
                <c:pt idx="2">
                  <c:v>13230.000000</c:v>
                </c:pt>
                <c:pt idx="3">
                  <c:v>11935.000000</c:v>
                </c:pt>
                <c:pt idx="4">
                  <c:v>11071.000000</c:v>
                </c:pt>
                <c:pt idx="5">
                  <c:v>6835.000000</c:v>
                </c:pt>
                <c:pt idx="6">
                  <c:v>4179.000000</c:v>
                </c:pt>
                <c:pt idx="7">
                  <c:v>2598.000000</c:v>
                </c:pt>
                <c:pt idx="8">
                  <c:v>1989.000000</c:v>
                </c:pt>
              </c:numCache>
            </c:numRef>
          </c:yVal>
          <c:smooth val="1"/>
        </c:ser>
        <c:axId val="2094734552"/>
        <c:axId val="2094734553"/>
      </c:scatterChart>
      <c:valAx>
        <c:axId val="2094734552"/>
        <c:scaling>
          <c:orientation val="minMax"/>
        </c:scaling>
        <c:delete val="0"/>
        <c:axPos val="b"/>
        <c:title>
          <c:tx>
            <c:rich>
              <a:bodyPr rot="0"/>
              <a:lstStyle/>
              <a:p>
                <a:pPr>
                  <a:defRPr b="0" i="0" strike="noStrike" sz="1000" u="none">
                    <a:solidFill>
                      <a:srgbClr val="595959"/>
                    </a:solidFill>
                    <a:latin typeface="Calibri"/>
                  </a:defRPr>
                </a:pPr>
                <a:r>
                  <a:rPr b="0" i="0" strike="noStrike" sz="1000" u="none">
                    <a:solidFill>
                      <a:srgbClr val="595959"/>
                    </a:solidFill>
                    <a:latin typeface="Calibri"/>
                  </a:rPr>
                  <a:t>D (m)</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3"/>
        <c:crosses val="autoZero"/>
        <c:crossBetween val="between"/>
        <c:majorUnit val="500"/>
        <c:minorUnit val="250"/>
      </c:valAx>
      <c:valAx>
        <c:axId val="2094734553"/>
        <c:scaling>
          <c:orientation val="minMax"/>
          <c:max val="10000"/>
        </c:scaling>
        <c:delete val="0"/>
        <c:axPos val="l"/>
        <c:majorGridlines>
          <c:spPr>
            <a:ln w="12700" cap="flat">
              <a:solidFill>
                <a:srgbClr val="D9D9D9"/>
              </a:solidFill>
              <a:prstDash val="solid"/>
              <a:round/>
            </a:ln>
          </c:spPr>
        </c:majorGridlines>
        <c:title>
          <c:tx>
            <c:rich>
              <a:bodyPr rot="-5400000"/>
              <a:lstStyle/>
              <a:p>
                <a:pPr>
                  <a:defRPr b="0" i="0" strike="noStrike" sz="1000" u="none">
                    <a:solidFill>
                      <a:srgbClr val="595959"/>
                    </a:solidFill>
                    <a:latin typeface="Calibri"/>
                  </a:defRPr>
                </a:pPr>
                <a:r>
                  <a:rPr b="0" i="0" strike="noStrike" sz="1000" u="none">
                    <a:solidFill>
                      <a:srgbClr val="595959"/>
                    </a:solidFill>
                    <a:latin typeface="Calibri"/>
                  </a:rPr>
                  <a:t>E (J)</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2500"/>
        <c:minorUnit val="1250"/>
      </c:valAx>
      <c:spPr>
        <a:noFill/>
        <a:ln w="12700" cap="flat">
          <a:noFill/>
          <a:miter lim="400000"/>
        </a:ln>
        <a:effectLst/>
      </c:spPr>
    </c:plotArea>
    <c:legend>
      <c:legendPos val="r"/>
      <c:layout>
        <c:manualLayout>
          <c:xMode val="edge"/>
          <c:yMode val="edge"/>
          <c:x val="0.844265"/>
          <c:y val="0.270562"/>
          <c:w val="0.155735"/>
          <c:h val="0.378026"/>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693173"/>
          <c:y val="0.0271558"/>
          <c:w val="0.725218"/>
          <c:h val="0.878056"/>
        </c:manualLayout>
      </c:layout>
      <c:scatterChart>
        <c:scatterStyle val="smoothMarker"/>
        <c:varyColors val="0"/>
        <c:ser>
          <c:idx val="0"/>
          <c:order val="0"/>
          <c:tx>
            <c:strRef>
              <c:f>'Tabelle1'!$A$2</c:f>
              <c:strCache>
                <c:ptCount val="1"/>
                <c:pt idx="0">
                  <c:v>9x19mm</c:v>
                </c:pt>
              </c:strCache>
            </c:strRef>
          </c:tx>
          <c:spPr>
            <a:noFill/>
            <a:ln w="19050" cap="rnd">
              <a:solidFill>
                <a:schemeClr val="accent1"/>
              </a:solidFill>
              <a:prstDash val="solid"/>
              <a:round/>
            </a:ln>
            <a:effectLst/>
          </c:spPr>
          <c:marker>
            <c:symbol val="none"/>
            <c:size val="4"/>
            <c:spPr>
              <a:noFill/>
              <a:ln w="19050" cap="rnd">
                <a:solidFill>
                  <a:schemeClr val="accent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'Tabelle1'!$F$2:$F$5</c:f>
              <c:numCache>
                <c:ptCount val="4"/>
                <c:pt idx="0">
                  <c:v>0.000000</c:v>
                </c:pt>
                <c:pt idx="1">
                  <c:v>10.000000</c:v>
                </c:pt>
                <c:pt idx="2">
                  <c:v>25.000000</c:v>
                </c:pt>
                <c:pt idx="3">
                  <c:v>50.000000</c:v>
                </c:pt>
              </c:numCache>
            </c:numRef>
          </c:xVal>
          <c:yVal>
            <c:numRef>
              <c:f>'Tabelle1'!$C$2:$C$5</c:f>
              <c:numCache>
                <c:ptCount val="4"/>
                <c:pt idx="0">
                  <c:v>396.000000</c:v>
                </c:pt>
                <c:pt idx="1">
                  <c:v>390.000000</c:v>
                </c:pt>
                <c:pt idx="2">
                  <c:v>383.000000</c:v>
                </c:pt>
                <c:pt idx="3">
                  <c:v>369.000000</c:v>
                </c:pt>
              </c:numCache>
            </c:numRef>
          </c:yVal>
          <c:smooth val="1"/>
        </c:ser>
        <c:ser>
          <c:idx val="1"/>
          <c:order val="1"/>
          <c:tx>
            <c:strRef>
              <c:f>'Tabelle1'!$A$7</c:f>
              <c:strCache/>
            </c:strRef>
          </c:tx>
          <c:spPr>
            <a:noFill/>
            <a:ln w="19050" cap="rnd">
              <a:solidFill>
                <a:schemeClr val="accent2"/>
              </a:solidFill>
              <a:prstDash val="solid"/>
              <a:round/>
            </a:ln>
            <a:effectLst/>
          </c:spPr>
          <c:marker>
            <c:symbol val="none"/>
            <c:size val="4"/>
            <c:spPr>
              <a:noFill/>
              <a:ln w="19050" cap="rnd">
                <a:solidFill>
                  <a:schemeClr val="accent2"/>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'Tabelle1'!$F$8:$F$12</c:f>
              <c:numCache>
                <c:ptCount val="5"/>
                <c:pt idx="0">
                  <c:v>0.000000</c:v>
                </c:pt>
                <c:pt idx="1">
                  <c:v>25.000000</c:v>
                </c:pt>
                <c:pt idx="2">
                  <c:v>50.000000</c:v>
                </c:pt>
                <c:pt idx="3">
                  <c:v>75.000000</c:v>
                </c:pt>
                <c:pt idx="4">
                  <c:v>100.000000</c:v>
                </c:pt>
              </c:numCache>
            </c:numRef>
          </c:xVal>
          <c:yVal>
            <c:numRef>
              <c:f>'Tabelle1'!$C$8:$C$12</c:f>
              <c:numCache>
                <c:ptCount val="5"/>
                <c:pt idx="0">
                  <c:v>412.000000</c:v>
                </c:pt>
                <c:pt idx="1">
                  <c:v>386.000000</c:v>
                </c:pt>
                <c:pt idx="2">
                  <c:v>363.000000</c:v>
                </c:pt>
                <c:pt idx="3">
                  <c:v>344.000000</c:v>
                </c:pt>
                <c:pt idx="4">
                  <c:v>329.000000</c:v>
                </c:pt>
              </c:numCache>
            </c:numRef>
          </c:yVal>
          <c:smooth val="1"/>
        </c:ser>
        <c:ser>
          <c:idx val="2"/>
          <c:order val="2"/>
          <c:tx>
            <c:strRef>
              <c:f>'Tabelle1'!$A$14</c:f>
              <c:strCache>
                <c:ptCount val="1"/>
                <c:pt idx="0">
                  <c:v>,357 Magnum</c:v>
                </c:pt>
              </c:strCache>
            </c:strRef>
          </c:tx>
          <c:spPr>
            <a:noFill/>
            <a:ln w="19050" cap="rnd">
              <a:solidFill>
                <a:schemeClr val="accent3"/>
              </a:solidFill>
              <a:prstDash val="solid"/>
              <a:round/>
            </a:ln>
            <a:effectLst/>
          </c:spPr>
          <c:marker>
            <c:symbol val="none"/>
            <c:size val="4"/>
            <c:spPr>
              <a:noFill/>
              <a:ln w="19050" cap="rnd">
                <a:solidFill>
                  <a:schemeClr val="accent3"/>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'Tabelle1'!$F$14:$F$17</c:f>
              <c:numCache>
                <c:ptCount val="4"/>
                <c:pt idx="0">
                  <c:v>0.000000</c:v>
                </c:pt>
                <c:pt idx="1">
                  <c:v>10.000000</c:v>
                </c:pt>
                <c:pt idx="2">
                  <c:v>25.000000</c:v>
                </c:pt>
                <c:pt idx="3">
                  <c:v>50.000000</c:v>
                </c:pt>
              </c:numCache>
            </c:numRef>
          </c:xVal>
          <c:yVal>
            <c:numRef>
              <c:f>'Tabelle1'!$C$14:$C$17</c:f>
              <c:numCache>
                <c:ptCount val="4"/>
                <c:pt idx="0">
                  <c:v>453.000000</c:v>
                </c:pt>
                <c:pt idx="1">
                  <c:v>435.000000</c:v>
                </c:pt>
                <c:pt idx="2">
                  <c:v>420.000000</c:v>
                </c:pt>
                <c:pt idx="3">
                  <c:v>395.000000</c:v>
                </c:pt>
              </c:numCache>
            </c:numRef>
          </c:yVal>
          <c:smooth val="1"/>
        </c:ser>
        <c:ser>
          <c:idx val="3"/>
          <c:order val="3"/>
          <c:tx>
            <c:strRef>
              <c:f>'Tabelle1'!$A$19</c:f>
              <c:strCache>
                <c:ptCount val="1"/>
                <c:pt idx="0">
                  <c:v>5,56 x39 7N6 MSC</c:v>
                </c:pt>
              </c:strCache>
            </c:strRef>
          </c:tx>
          <c:spPr>
            <a:noFill/>
            <a:ln w="19050" cap="rnd">
              <a:solidFill>
                <a:schemeClr val="accent4"/>
              </a:solidFill>
              <a:prstDash val="solid"/>
              <a:round/>
            </a:ln>
            <a:effectLst/>
          </c:spPr>
          <c:marker>
            <c:symbol val="none"/>
            <c:size val="4"/>
            <c:spPr>
              <a:noFill/>
              <a:ln w="19050" cap="rnd">
                <a:solidFill>
                  <a:schemeClr val="accent4"/>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'Tabelle1'!$F$19:$F$24</c:f>
              <c:numCache>
                <c:ptCount val="6"/>
                <c:pt idx="0">
                  <c:v>0.000000</c:v>
                </c:pt>
                <c:pt idx="1">
                  <c:v>100.000000</c:v>
                </c:pt>
                <c:pt idx="2">
                  <c:v>200.000000</c:v>
                </c:pt>
                <c:pt idx="3">
                  <c:v>300.000000</c:v>
                </c:pt>
                <c:pt idx="4">
                  <c:v>400.000000</c:v>
                </c:pt>
                <c:pt idx="5">
                  <c:v>500.000000</c:v>
                </c:pt>
              </c:numCache>
            </c:numRef>
          </c:xVal>
          <c:yVal>
            <c:numRef>
              <c:f>'Tabelle1'!$C$19:$C$24</c:f>
              <c:numCache>
                <c:ptCount val="6"/>
                <c:pt idx="0">
                  <c:v>900.000000</c:v>
                </c:pt>
                <c:pt idx="1">
                  <c:v>802.000000</c:v>
                </c:pt>
                <c:pt idx="2">
                  <c:v>713.000000</c:v>
                </c:pt>
                <c:pt idx="3">
                  <c:v>628.000000</c:v>
                </c:pt>
                <c:pt idx="4">
                  <c:v>550.000000</c:v>
                </c:pt>
                <c:pt idx="5">
                  <c:v>473.000000</c:v>
                </c:pt>
              </c:numCache>
            </c:numRef>
          </c:yVal>
          <c:smooth val="1"/>
        </c:ser>
        <c:ser>
          <c:idx val="4"/>
          <c:order val="4"/>
          <c:tx>
            <c:strRef>
              <c:f>'Tabelle1'!$A$26</c:f>
              <c:strCache>
                <c:ptCount val="1"/>
                <c:pt idx="0">
                  <c:v>5,56 x 45nn SS109</c:v>
                </c:pt>
              </c:strCache>
            </c:strRef>
          </c:tx>
          <c:spPr>
            <a:noFill/>
            <a:ln w="19050" cap="rnd">
              <a:solidFill>
                <a:schemeClr val="accent5"/>
              </a:solidFill>
              <a:prstDash val="solid"/>
              <a:round/>
            </a:ln>
            <a:effectLst/>
          </c:spPr>
          <c:marker>
            <c:symbol val="none"/>
            <c:size val="4"/>
            <c:spPr>
              <a:noFill/>
              <a:ln w="19050" cap="rnd">
                <a:solidFill>
                  <a:schemeClr val="accent5"/>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'Tabelle1'!$F$26:$F$31</c:f>
              <c:numCache>
                <c:ptCount val="6"/>
                <c:pt idx="0">
                  <c:v>0.000000</c:v>
                </c:pt>
                <c:pt idx="1">
                  <c:v>100.000000</c:v>
                </c:pt>
                <c:pt idx="2">
                  <c:v>200.000000</c:v>
                </c:pt>
                <c:pt idx="3">
                  <c:v>300.000000</c:v>
                </c:pt>
                <c:pt idx="4">
                  <c:v>400.000000</c:v>
                </c:pt>
                <c:pt idx="5">
                  <c:v>500.000000</c:v>
                </c:pt>
              </c:numCache>
            </c:numRef>
          </c:xVal>
          <c:yVal>
            <c:numRef>
              <c:f>'Tabelle1'!$C$26:$C$31</c:f>
              <c:numCache>
                <c:ptCount val="6"/>
                <c:pt idx="0">
                  <c:v>930.000000</c:v>
                </c:pt>
                <c:pt idx="1">
                  <c:v>832.000000</c:v>
                </c:pt>
                <c:pt idx="2">
                  <c:v>740.000000</c:v>
                </c:pt>
                <c:pt idx="3">
                  <c:v>650.000000</c:v>
                </c:pt>
                <c:pt idx="4">
                  <c:v>574.000000</c:v>
                </c:pt>
                <c:pt idx="5">
                  <c:v>500.000000</c:v>
                </c:pt>
              </c:numCache>
            </c:numRef>
          </c:yVal>
          <c:smooth val="1"/>
        </c:ser>
        <c:ser>
          <c:idx val="5"/>
          <c:order val="5"/>
          <c:tx>
            <c:strRef>
              <c:f>'Tabelle1'!$A$40</c:f>
              <c:strCache>
                <c:ptCount val="1"/>
                <c:pt idx="0">
                  <c:v>7,62 x 51 M80</c:v>
                </c:pt>
              </c:strCache>
            </c:strRef>
          </c:tx>
          <c:spPr>
            <a:noFill/>
            <a:ln w="19050" cap="rnd">
              <a:solidFill>
                <a:schemeClr val="accent6"/>
              </a:solidFill>
              <a:prstDash val="solid"/>
              <a:round/>
            </a:ln>
            <a:effectLst/>
          </c:spPr>
          <c:marker>
            <c:symbol val="none"/>
            <c:size val="4"/>
            <c:spPr>
              <a:noFill/>
              <a:ln w="19050" cap="rnd">
                <a:solidFill>
                  <a:schemeClr val="accent6"/>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'Tabelle1'!$F$40:$F$45</c:f>
              <c:numCache>
                <c:ptCount val="6"/>
                <c:pt idx="0">
                  <c:v>0.000000</c:v>
                </c:pt>
                <c:pt idx="1">
                  <c:v>100.000000</c:v>
                </c:pt>
                <c:pt idx="2">
                  <c:v>200.000000</c:v>
                </c:pt>
                <c:pt idx="3">
                  <c:v>300.000000</c:v>
                </c:pt>
                <c:pt idx="4">
                  <c:v>400.000000</c:v>
                </c:pt>
                <c:pt idx="5">
                  <c:v>500.000000</c:v>
                </c:pt>
              </c:numCache>
            </c:numRef>
          </c:xVal>
          <c:yVal>
            <c:numRef>
              <c:f>'Tabelle1'!$C$40:$C$45</c:f>
              <c:numCache>
                <c:ptCount val="6"/>
                <c:pt idx="0">
                  <c:v>854.000000</c:v>
                </c:pt>
                <c:pt idx="1">
                  <c:v>778.000000</c:v>
                </c:pt>
                <c:pt idx="2">
                  <c:v>709.000000</c:v>
                </c:pt>
                <c:pt idx="3">
                  <c:v>642.000000</c:v>
                </c:pt>
                <c:pt idx="4">
                  <c:v>578.000000</c:v>
                </c:pt>
                <c:pt idx="5">
                  <c:v>518.000000</c:v>
                </c:pt>
              </c:numCache>
            </c:numRef>
          </c:yVal>
          <c:smooth val="1"/>
        </c:ser>
        <c:ser>
          <c:idx val="6"/>
          <c:order val="6"/>
          <c:tx>
            <c:strRef>
              <c:f>'Tabelle1'!$A$47</c:f>
              <c:strCache>
                <c:ptCount val="1"/>
                <c:pt idx="0">
                  <c:v>,338 lapua</c:v>
                </c:pt>
              </c:strCache>
            </c:strRef>
          </c:tx>
          <c:spPr>
            <a:noFill/>
            <a:ln w="19050" cap="rnd">
              <a:solidFill>
                <a:srgbClr val="255E91"/>
              </a:solidFill>
              <a:prstDash val="solid"/>
              <a:round/>
            </a:ln>
            <a:effectLst/>
          </c:spPr>
          <c:marker>
            <c:symbol val="none"/>
            <c:size val="4"/>
            <c:spPr>
              <a:noFill/>
              <a:ln w="19050" cap="rnd">
                <a:solidFill>
                  <a:srgbClr val="255E9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'Tabelle1'!$F$47:$F$57</c:f>
              <c:numCache>
                <c:ptCount val="11"/>
                <c:pt idx="0">
                  <c:v>0.000000</c:v>
                </c:pt>
                <c:pt idx="1">
                  <c:v>200.000000</c:v>
                </c:pt>
                <c:pt idx="2">
                  <c:v>400.000000</c:v>
                </c:pt>
                <c:pt idx="3">
                  <c:v>600.000000</c:v>
                </c:pt>
                <c:pt idx="4">
                  <c:v>800.000000</c:v>
                </c:pt>
                <c:pt idx="5">
                  <c:v>1000.000000</c:v>
                </c:pt>
                <c:pt idx="6">
                  <c:v>1200.000000</c:v>
                </c:pt>
                <c:pt idx="7">
                  <c:v>1400.000000</c:v>
                </c:pt>
                <c:pt idx="8">
                  <c:v>1600.000000</c:v>
                </c:pt>
                <c:pt idx="9">
                  <c:v>1800.000000</c:v>
                </c:pt>
                <c:pt idx="10">
                  <c:v>2000.000000</c:v>
                </c:pt>
              </c:numCache>
            </c:numRef>
          </c:xVal>
          <c:yVal>
            <c:numRef>
              <c:f>'Tabelle1'!$C$47:$C$57</c:f>
              <c:numCache>
                <c:ptCount val="11"/>
                <c:pt idx="0">
                  <c:v>915.000000</c:v>
                </c:pt>
                <c:pt idx="1">
                  <c:v>820.000000</c:v>
                </c:pt>
                <c:pt idx="2">
                  <c:v>730.000000</c:v>
                </c:pt>
                <c:pt idx="3">
                  <c:v>645.000000</c:v>
                </c:pt>
                <c:pt idx="4">
                  <c:v>566.000000</c:v>
                </c:pt>
                <c:pt idx="5">
                  <c:v>492.000000</c:v>
                </c:pt>
                <c:pt idx="6">
                  <c:v>423.000000</c:v>
                </c:pt>
                <c:pt idx="7">
                  <c:v>354.000000</c:v>
                </c:pt>
                <c:pt idx="8">
                  <c:v>319.000000</c:v>
                </c:pt>
                <c:pt idx="9">
                  <c:v>296.000000</c:v>
                </c:pt>
                <c:pt idx="10">
                  <c:v>278.000000</c:v>
                </c:pt>
              </c:numCache>
            </c:numRef>
          </c:yVal>
          <c:smooth val="1"/>
        </c:ser>
        <c:ser>
          <c:idx val="7"/>
          <c:order val="7"/>
          <c:tx>
            <c:strRef>
              <c:f>'Tabelle1'!$L$3</c:f>
              <c:strCache>
                <c:ptCount val="1"/>
                <c:pt idx="0">
                  <c:v>FSP 5,56</c:v>
                </c:pt>
              </c:strCache>
            </c:strRef>
          </c:tx>
          <c:spPr>
            <a:noFill/>
            <a:ln w="19050" cap="rnd">
              <a:solidFill>
                <a:srgbClr val="9E480E"/>
              </a:solidFill>
              <a:prstDash val="solid"/>
              <a:round/>
            </a:ln>
            <a:effectLst/>
          </c:spPr>
          <c:marker>
            <c:symbol val="none"/>
            <c:size val="4"/>
            <c:spPr>
              <a:noFill/>
              <a:ln w="19050" cap="rnd">
                <a:solidFill>
                  <a:srgbClr val="9E480E"/>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'Tabelle1'!$P$4:$P$10</c:f>
              <c:numCache>
                <c:ptCount val="7"/>
                <c:pt idx="0">
                  <c:v>0.000000</c:v>
                </c:pt>
                <c:pt idx="1">
                  <c:v>10.000000</c:v>
                </c:pt>
                <c:pt idx="2">
                  <c:v>20.000000</c:v>
                </c:pt>
                <c:pt idx="3">
                  <c:v>40.000000</c:v>
                </c:pt>
                <c:pt idx="4">
                  <c:v>50.000000</c:v>
                </c:pt>
                <c:pt idx="5">
                  <c:v>100.000000</c:v>
                </c:pt>
                <c:pt idx="6">
                  <c:v>200.000000</c:v>
                </c:pt>
              </c:numCache>
            </c:numRef>
          </c:xVal>
          <c:yVal>
            <c:numRef>
              <c:f>'Tabelle1'!$N$4:$N$10</c:f>
              <c:numCache>
                <c:ptCount val="7"/>
                <c:pt idx="0">
                  <c:v>1000.000000</c:v>
                </c:pt>
                <c:pt idx="1">
                  <c:v>825.896755</c:v>
                </c:pt>
                <c:pt idx="2">
                  <c:v>563.348677</c:v>
                </c:pt>
                <c:pt idx="3">
                  <c:v>262.108024</c:v>
                </c:pt>
                <c:pt idx="4">
                  <c:v>100.718469</c:v>
                </c:pt>
                <c:pt idx="5">
                  <c:v>14.871909</c:v>
                </c:pt>
                <c:pt idx="6">
                  <c:v>0.324251</c:v>
                </c:pt>
              </c:numCache>
            </c:numRef>
          </c:yVal>
          <c:smooth val="1"/>
        </c:ser>
        <c:ser>
          <c:idx val="8"/>
          <c:order val="8"/>
          <c:tx>
            <c:strRef>
              <c:f>'Tabelle1'!$L$15</c:f>
              <c:strCache>
                <c:ptCount val="1"/>
                <c:pt idx="0">
                  <c:v>FSP 7,62</c:v>
                </c:pt>
              </c:strCache>
            </c:strRef>
          </c:tx>
          <c:spPr>
            <a:noFill/>
            <a:ln w="19050" cap="rnd">
              <a:solidFill>
                <a:srgbClr val="636363"/>
              </a:solidFill>
              <a:prstDash val="solid"/>
              <a:round/>
            </a:ln>
            <a:effectLst/>
          </c:spPr>
          <c:marker>
            <c:symbol val="none"/>
            <c:size val="4"/>
            <c:spPr>
              <a:noFill/>
              <a:ln w="19050" cap="rnd">
                <a:solidFill>
                  <a:srgbClr val="636363"/>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'Tabelle1'!$P$16:$P$22</c:f>
              <c:numCache>
                <c:ptCount val="7"/>
                <c:pt idx="0">
                  <c:v>0.000000</c:v>
                </c:pt>
                <c:pt idx="1">
                  <c:v>10.000000</c:v>
                </c:pt>
                <c:pt idx="2">
                  <c:v>20.000000</c:v>
                </c:pt>
                <c:pt idx="3">
                  <c:v>40.000000</c:v>
                </c:pt>
                <c:pt idx="4">
                  <c:v>50.000000</c:v>
                </c:pt>
                <c:pt idx="5">
                  <c:v>100.000000</c:v>
                </c:pt>
                <c:pt idx="6">
                  <c:v>200.000000</c:v>
                </c:pt>
              </c:numCache>
            </c:numRef>
          </c:xVal>
          <c:yVal>
            <c:numRef>
              <c:f>'Tabelle1'!$N$16:$N$22</c:f>
              <c:numCache>
                <c:ptCount val="7"/>
                <c:pt idx="0">
                  <c:v>1000.000000</c:v>
                </c:pt>
                <c:pt idx="1">
                  <c:v>863.504585</c:v>
                </c:pt>
                <c:pt idx="2">
                  <c:v>745.640168</c:v>
                </c:pt>
                <c:pt idx="3">
                  <c:v>555.979261</c:v>
                </c:pt>
                <c:pt idx="4">
                  <c:v>480.090641</c:v>
                </c:pt>
                <c:pt idx="5">
                  <c:v>230.487023</c:v>
                </c:pt>
                <c:pt idx="6">
                  <c:v>53.124268</c:v>
                </c:pt>
              </c:numCache>
            </c:numRef>
          </c:yVal>
          <c:smooth val="1"/>
        </c:ser>
        <c:ser>
          <c:idx val="9"/>
          <c:order val="9"/>
          <c:tx>
            <c:strRef>
              <c:f>'Tabelle1'!$L$27</c:f>
              <c:strCache>
                <c:ptCount val="1"/>
                <c:pt idx="0">
                  <c:v>FSP 12,7</c:v>
                </c:pt>
              </c:strCache>
            </c:strRef>
          </c:tx>
          <c:spPr>
            <a:noFill/>
            <a:ln w="19050" cap="rnd">
              <a:solidFill>
                <a:srgbClr val="997300"/>
              </a:solidFill>
              <a:prstDash val="solid"/>
              <a:round/>
            </a:ln>
            <a:effectLst/>
          </c:spPr>
          <c:marker>
            <c:symbol val="none"/>
            <c:size val="4"/>
            <c:spPr>
              <a:noFill/>
              <a:ln w="19050" cap="rnd">
                <a:solidFill>
                  <a:srgbClr val="997300"/>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'Tabelle1'!$P$28:$P$34</c:f>
              <c:numCache>
                <c:ptCount val="7"/>
                <c:pt idx="0">
                  <c:v>0.000000</c:v>
                </c:pt>
                <c:pt idx="1">
                  <c:v>10.000000</c:v>
                </c:pt>
                <c:pt idx="2">
                  <c:v>20.000000</c:v>
                </c:pt>
                <c:pt idx="3">
                  <c:v>40.000000</c:v>
                </c:pt>
                <c:pt idx="4">
                  <c:v>50.000000</c:v>
                </c:pt>
                <c:pt idx="5">
                  <c:v>100.000000</c:v>
                </c:pt>
                <c:pt idx="6">
                  <c:v>200.000000</c:v>
                </c:pt>
              </c:numCache>
            </c:numRef>
          </c:xVal>
          <c:yVal>
            <c:numRef>
              <c:f>'Tabelle1'!$N$28:$N$34</c:f>
              <c:numCache>
                <c:ptCount val="7"/>
                <c:pt idx="0">
                  <c:v>1000.000000</c:v>
                </c:pt>
                <c:pt idx="1">
                  <c:v>916.751464</c:v>
                </c:pt>
                <c:pt idx="2">
                  <c:v>840.433246</c:v>
                </c:pt>
                <c:pt idx="3">
                  <c:v>706.328041</c:v>
                </c:pt>
                <c:pt idx="4">
                  <c:v>647.527266</c:v>
                </c:pt>
                <c:pt idx="5">
                  <c:v>419.291560</c:v>
                </c:pt>
                <c:pt idx="6">
                  <c:v>175.805412</c:v>
                </c:pt>
              </c:numCache>
            </c:numRef>
          </c:yVal>
          <c:smooth val="1"/>
        </c:ser>
        <c:ser>
          <c:idx val="10"/>
          <c:order val="10"/>
          <c:tx>
            <c:strRef>
              <c:f>'Tabelle1'!$L$39</c:f>
              <c:strCache>
                <c:ptCount val="1"/>
                <c:pt idx="0">
                  <c:v>FSP 20</c:v>
                </c:pt>
              </c:strCache>
            </c:strRef>
          </c:tx>
          <c:spPr>
            <a:noFill/>
            <a:ln w="19050" cap="rnd">
              <a:solidFill>
                <a:srgbClr val="264478"/>
              </a:solidFill>
              <a:prstDash val="solid"/>
              <a:round/>
            </a:ln>
            <a:effectLst/>
          </c:spPr>
          <c:marker>
            <c:symbol val="none"/>
            <c:size val="4"/>
            <c:spPr>
              <a:noFill/>
              <a:ln w="19050" cap="rnd">
                <a:solidFill>
                  <a:srgbClr val="264478"/>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'Tabelle1'!$P$40:$P$46</c:f>
              <c:numCache>
                <c:ptCount val="7"/>
                <c:pt idx="0">
                  <c:v>0.000000</c:v>
                </c:pt>
                <c:pt idx="1">
                  <c:v>10.000000</c:v>
                </c:pt>
                <c:pt idx="2">
                  <c:v>20.000000</c:v>
                </c:pt>
                <c:pt idx="3">
                  <c:v>40.000000</c:v>
                </c:pt>
                <c:pt idx="4">
                  <c:v>50.000000</c:v>
                </c:pt>
                <c:pt idx="5">
                  <c:v>100.000000</c:v>
                </c:pt>
                <c:pt idx="6">
                  <c:v>200.000000</c:v>
                </c:pt>
              </c:numCache>
            </c:numRef>
          </c:xVal>
          <c:yVal>
            <c:numRef>
              <c:f>'Tabelle1'!$N$40:$N$46</c:f>
              <c:numCache>
                <c:ptCount val="7"/>
                <c:pt idx="0">
                  <c:v>1000.000000</c:v>
                </c:pt>
                <c:pt idx="1">
                  <c:v>884.121617</c:v>
                </c:pt>
                <c:pt idx="2">
                  <c:v>781.671034</c:v>
                </c:pt>
                <c:pt idx="3">
                  <c:v>611.009605</c:v>
                </c:pt>
                <c:pt idx="4">
                  <c:v>540.206800</c:v>
                </c:pt>
                <c:pt idx="5">
                  <c:v>291.823387</c:v>
                </c:pt>
                <c:pt idx="6">
                  <c:v>85.160889</c:v>
                </c:pt>
              </c:numCache>
            </c:numRef>
          </c:yVal>
          <c:smooth val="1"/>
        </c:ser>
        <c:ser>
          <c:idx val="11"/>
          <c:order val="11"/>
          <c:tx>
            <c:strRef>
              <c:f>'Tabelle1'!$A$60</c:f>
              <c:strCache>
                <c:ptCount val="1"/>
                <c:pt idx="0">
                  <c:v>12,7 x 99 mm</c:v>
                </c:pt>
              </c:strCache>
            </c:strRef>
          </c:tx>
          <c:spPr>
            <a:noFill/>
            <a:ln w="19050" cap="rnd">
              <a:solidFill>
                <a:srgbClr val="43682B"/>
              </a:solidFill>
              <a:prstDash val="solid"/>
              <a:round/>
            </a:ln>
            <a:effectLst/>
          </c:spPr>
          <c:marker>
            <c:symbol val="none"/>
            <c:size val="4"/>
            <c:spPr>
              <a:noFill/>
              <a:ln w="19050" cap="rnd">
                <a:solidFill>
                  <a:srgbClr val="43682B"/>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'Tabelle1'!$F$61:$F$69</c:f>
              <c:numCache>
                <c:ptCount val="9"/>
                <c:pt idx="0">
                  <c:v>25.000000</c:v>
                </c:pt>
                <c:pt idx="1">
                  <c:v>100.000000</c:v>
                </c:pt>
                <c:pt idx="2">
                  <c:v>200.000000</c:v>
                </c:pt>
                <c:pt idx="3">
                  <c:v>300.000000</c:v>
                </c:pt>
                <c:pt idx="4">
                  <c:v>400.000000</c:v>
                </c:pt>
                <c:pt idx="5">
                  <c:v>800.000000</c:v>
                </c:pt>
                <c:pt idx="6">
                  <c:v>1200.000000</c:v>
                </c:pt>
                <c:pt idx="7">
                  <c:v>1600.000000</c:v>
                </c:pt>
                <c:pt idx="8">
                  <c:v>2000.000000</c:v>
                </c:pt>
              </c:numCache>
            </c:numRef>
          </c:xVal>
          <c:yVal>
            <c:numRef>
              <c:f>'Tabelle1'!$C$61:$C$69</c:f>
              <c:numCache>
                <c:ptCount val="9"/>
                <c:pt idx="0">
                  <c:v>887.000000</c:v>
                </c:pt>
                <c:pt idx="1">
                  <c:v>836.856655</c:v>
                </c:pt>
                <c:pt idx="2">
                  <c:v>789.547983</c:v>
                </c:pt>
                <c:pt idx="3">
                  <c:v>744.913736</c:v>
                </c:pt>
                <c:pt idx="4">
                  <c:v>702.802725</c:v>
                </c:pt>
                <c:pt idx="5">
                  <c:v>556.856450</c:v>
                </c:pt>
                <c:pt idx="6">
                  <c:v>441.217847</c:v>
                </c:pt>
                <c:pt idx="7">
                  <c:v>349.593129</c:v>
                </c:pt>
                <c:pt idx="8">
                  <c:v>276.995495</c:v>
                </c:pt>
              </c:numCache>
            </c:numRef>
          </c:yVal>
          <c:smooth val="1"/>
        </c:ser>
        <c:ser>
          <c:idx val="12"/>
          <c:order val="12"/>
          <c:tx>
            <c:strRef>
              <c:f>'Tabelle1'!$A$73</c:f>
              <c:strCache>
                <c:ptCount val="1"/>
                <c:pt idx="0">
                  <c:v>12,7x108</c:v>
                </c:pt>
              </c:strCache>
            </c:strRef>
          </c:tx>
          <c:spPr>
            <a:noFill/>
            <a:ln w="19050" cap="rnd">
              <a:solidFill>
                <a:srgbClr val="7CAFDD"/>
              </a:solidFill>
              <a:prstDash val="solid"/>
              <a:round/>
            </a:ln>
            <a:effectLst/>
          </c:spPr>
          <c:marker>
            <c:symbol val="none"/>
            <c:size val="4"/>
            <c:spPr>
              <a:noFill/>
              <a:ln w="19050" cap="rnd">
                <a:solidFill>
                  <a:srgbClr val="7CAFDD"/>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'Tabelle1'!$F$73:$F$81</c:f>
              <c:numCache>
                <c:ptCount val="9"/>
                <c:pt idx="0">
                  <c:v>0.000000</c:v>
                </c:pt>
                <c:pt idx="1">
                  <c:v>100.000000</c:v>
                </c:pt>
                <c:pt idx="2">
                  <c:v>200.000000</c:v>
                </c:pt>
                <c:pt idx="3">
                  <c:v>300.000000</c:v>
                </c:pt>
                <c:pt idx="4">
                  <c:v>400.000000</c:v>
                </c:pt>
                <c:pt idx="5">
                  <c:v>800.000000</c:v>
                </c:pt>
                <c:pt idx="6">
                  <c:v>1200.000000</c:v>
                </c:pt>
                <c:pt idx="7">
                  <c:v>1600.000000</c:v>
                </c:pt>
                <c:pt idx="8">
                  <c:v>2000.000000</c:v>
                </c:pt>
              </c:numCache>
            </c:numRef>
          </c:xVal>
          <c:yVal>
            <c:numRef>
              <c:f>'Tabelle1'!$C$73:$C$81</c:f>
              <c:numCache>
                <c:ptCount val="9"/>
                <c:pt idx="0">
                  <c:v>815.000000</c:v>
                </c:pt>
                <c:pt idx="1">
                  <c:v>780.000000</c:v>
                </c:pt>
                <c:pt idx="2">
                  <c:v>741.000000</c:v>
                </c:pt>
                <c:pt idx="3">
                  <c:v>703.000000</c:v>
                </c:pt>
                <c:pt idx="4">
                  <c:v>666.000000</c:v>
                </c:pt>
                <c:pt idx="5">
                  <c:v>532.000000</c:v>
                </c:pt>
                <c:pt idx="6">
                  <c:v>416.000000</c:v>
                </c:pt>
                <c:pt idx="7">
                  <c:v>328.000000</c:v>
                </c:pt>
                <c:pt idx="8">
                  <c:v>287.000000</c:v>
                </c:pt>
              </c:numCache>
            </c:numRef>
          </c:yVal>
          <c:smooth val="1"/>
        </c:ser>
        <c:axId val="2094734552"/>
        <c:axId val="2094734553"/>
      </c:scatterChart>
      <c:valAx>
        <c:axId val="2094734552"/>
        <c:scaling>
          <c:orientation val="minMax"/>
        </c:scaling>
        <c:delete val="0"/>
        <c:axPos val="b"/>
        <c:title>
          <c:tx>
            <c:rich>
              <a:bodyPr rot="0"/>
              <a:lstStyle/>
              <a:p>
                <a:pPr>
                  <a:defRPr b="0" i="0" strike="noStrike" sz="1000" u="none">
                    <a:solidFill>
                      <a:srgbClr val="595959"/>
                    </a:solidFill>
                    <a:latin typeface="Calibri"/>
                  </a:defRPr>
                </a:pPr>
                <a:r>
                  <a:rPr b="0" i="0" strike="noStrike" sz="1000" u="none">
                    <a:solidFill>
                      <a:srgbClr val="595959"/>
                    </a:solidFill>
                    <a:latin typeface="Calibri"/>
                  </a:rPr>
                  <a:t>D</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3"/>
        <c:crosses val="autoZero"/>
        <c:crossBetween val="between"/>
        <c:majorUnit val="500"/>
        <c:minorUnit val="250"/>
      </c:valAx>
      <c:valAx>
        <c:axId val="2094734553"/>
        <c:scaling>
          <c:orientation val="minMax"/>
          <c:max val="1000"/>
        </c:scaling>
        <c:delete val="0"/>
        <c:axPos val="l"/>
        <c:majorGridlines>
          <c:spPr>
            <a:ln w="12700" cap="flat">
              <a:solidFill>
                <a:srgbClr val="D9D9D9"/>
              </a:solidFill>
              <a:prstDash val="solid"/>
              <a:round/>
            </a:ln>
          </c:spPr>
        </c:majorGridlines>
        <c:title>
          <c:tx>
            <c:rich>
              <a:bodyPr rot="-5400000"/>
              <a:lstStyle/>
              <a:p>
                <a:pPr>
                  <a:defRPr b="0" i="0" strike="noStrike" sz="1000" u="none">
                    <a:solidFill>
                      <a:srgbClr val="595959"/>
                    </a:solidFill>
                    <a:latin typeface="Calibri"/>
                  </a:defRPr>
                </a:pPr>
                <a:r>
                  <a:rPr b="0" i="0" strike="noStrike" sz="1000" u="none">
                    <a:solidFill>
                      <a:srgbClr val="595959"/>
                    </a:solidFill>
                    <a:latin typeface="Calibri"/>
                  </a:rPr>
                  <a:t>V</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250"/>
        <c:minorUnit val="125"/>
      </c:valAx>
      <c:spPr>
        <a:noFill/>
        <a:ln w="12700" cap="flat">
          <a:noFill/>
          <a:miter lim="400000"/>
        </a:ln>
        <a:effectLst/>
      </c:spPr>
    </c:plotArea>
    <c:legend>
      <c:legendPos val="r"/>
      <c:layout>
        <c:manualLayout>
          <c:xMode val="edge"/>
          <c:yMode val="edge"/>
          <c:x val="0.836375"/>
          <c:y val="0.370648"/>
          <c:w val="0.163625"/>
          <c:h val="0.378026"/>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72368"/>
          <c:y val="0.0271558"/>
          <c:w val="0.728852"/>
          <c:h val="0.878056"/>
        </c:manualLayout>
      </c:layout>
      <c:scatterChart>
        <c:scatterStyle val="smoothMarker"/>
        <c:varyColors val="0"/>
        <c:ser>
          <c:idx val="0"/>
          <c:order val="0"/>
          <c:tx>
            <c:strRef>
              <c:f>'Tabelle1'!$A$2</c:f>
              <c:strCache>
                <c:ptCount val="1"/>
                <c:pt idx="0">
                  <c:v>9x19mm</c:v>
                </c:pt>
              </c:strCache>
            </c:strRef>
          </c:tx>
          <c:spPr>
            <a:noFill/>
            <a:ln w="19050" cap="rnd">
              <a:solidFill>
                <a:schemeClr val="accent1"/>
              </a:solidFill>
              <a:prstDash val="solid"/>
              <a:round/>
            </a:ln>
            <a:effectLst/>
          </c:spPr>
          <c:marker>
            <c:symbol val="none"/>
            <c:size val="4"/>
            <c:spPr>
              <a:noFill/>
              <a:ln w="19050" cap="rnd">
                <a:solidFill>
                  <a:schemeClr val="accent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'Tabelle1'!$E$2:$E$5</c:f>
              <c:numCache>
                <c:ptCount val="4"/>
                <c:pt idx="0">
                  <c:v>4.343350</c:v>
                </c:pt>
                <c:pt idx="1">
                  <c:v>4.209250</c:v>
                </c:pt>
                <c:pt idx="2">
                  <c:v>4.060250</c:v>
                </c:pt>
                <c:pt idx="3">
                  <c:v>3.769700</c:v>
                </c:pt>
              </c:numCache>
            </c:numRef>
          </c:xVal>
          <c:yVal>
            <c:numRef>
              <c:f>'Tabelle1'!$D$2:$D$5</c:f>
              <c:numCache>
                <c:ptCount val="4"/>
                <c:pt idx="0">
                  <c:v>583.000000</c:v>
                </c:pt>
                <c:pt idx="1">
                  <c:v>565.000000</c:v>
                </c:pt>
                <c:pt idx="2">
                  <c:v>545.000000</c:v>
                </c:pt>
                <c:pt idx="3">
                  <c:v>506.000000</c:v>
                </c:pt>
              </c:numCache>
            </c:numRef>
          </c:yVal>
          <c:smooth val="1"/>
        </c:ser>
        <c:ser>
          <c:idx val="1"/>
          <c:order val="1"/>
          <c:tx>
            <c:strRef>
              <c:f>'Tabelle1'!$A$7</c:f>
              <c:strCache/>
            </c:strRef>
          </c:tx>
          <c:spPr>
            <a:noFill/>
            <a:ln w="19050" cap="rnd">
              <a:solidFill>
                <a:schemeClr val="accent2"/>
              </a:solidFill>
              <a:prstDash val="solid"/>
              <a:round/>
            </a:ln>
            <a:effectLst/>
          </c:spPr>
          <c:marker>
            <c:symbol val="none"/>
            <c:size val="4"/>
            <c:spPr>
              <a:noFill/>
              <a:ln w="19050" cap="rnd">
                <a:solidFill>
                  <a:schemeClr val="accent2"/>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'Tabelle1'!$E$8:$E$12</c:f>
              <c:numCache>
                <c:ptCount val="5"/>
                <c:pt idx="0">
                  <c:v>5.532300</c:v>
                </c:pt>
                <c:pt idx="1">
                  <c:v>4.876200</c:v>
                </c:pt>
                <c:pt idx="2">
                  <c:v>4.317300</c:v>
                </c:pt>
                <c:pt idx="3">
                  <c:v>3.871800</c:v>
                </c:pt>
                <c:pt idx="4">
                  <c:v>3.547800</c:v>
                </c:pt>
              </c:numCache>
            </c:numRef>
          </c:xVal>
          <c:yVal>
            <c:numRef>
              <c:f>'Tabelle1'!$D$8:$D$12</c:f>
              <c:numCache>
                <c:ptCount val="5"/>
                <c:pt idx="0">
                  <c:v>683.000000</c:v>
                </c:pt>
                <c:pt idx="1">
                  <c:v>602.000000</c:v>
                </c:pt>
                <c:pt idx="2">
                  <c:v>533.000000</c:v>
                </c:pt>
                <c:pt idx="3">
                  <c:v>478.000000</c:v>
                </c:pt>
                <c:pt idx="4">
                  <c:v>438.000000</c:v>
                </c:pt>
              </c:numCache>
            </c:numRef>
          </c:yVal>
          <c:smooth val="1"/>
        </c:ser>
        <c:ser>
          <c:idx val="2"/>
          <c:order val="2"/>
          <c:tx>
            <c:strRef>
              <c:f>'Tabelle1'!$A$14</c:f>
              <c:strCache>
                <c:ptCount val="1"/>
                <c:pt idx="0">
                  <c:v>,357 Magnum</c:v>
                </c:pt>
              </c:strCache>
            </c:strRef>
          </c:tx>
          <c:spPr>
            <a:noFill/>
            <a:ln w="19050" cap="rnd">
              <a:solidFill>
                <a:schemeClr val="accent3"/>
              </a:solidFill>
              <a:prstDash val="solid"/>
              <a:round/>
            </a:ln>
            <a:effectLst/>
          </c:spPr>
          <c:marker>
            <c:symbol val="none"/>
            <c:size val="4"/>
            <c:spPr>
              <a:noFill/>
              <a:ln w="19050" cap="rnd">
                <a:solidFill>
                  <a:schemeClr val="accent3"/>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'Tabelle1'!$E$14:$E$17</c:f>
              <c:numCache>
                <c:ptCount val="4"/>
                <c:pt idx="0">
                  <c:v>10.342530</c:v>
                </c:pt>
                <c:pt idx="1">
                  <c:v>9.882180</c:v>
                </c:pt>
                <c:pt idx="2">
                  <c:v>9.207000</c:v>
                </c:pt>
                <c:pt idx="3">
                  <c:v>5.074080</c:v>
                </c:pt>
              </c:numCache>
            </c:numRef>
          </c:xVal>
          <c:yVal>
            <c:numRef>
              <c:f>'Tabelle1'!$D$14:$D$17</c:f>
              <c:numCache>
                <c:ptCount val="4"/>
                <c:pt idx="0">
                  <c:v>1011.000000</c:v>
                </c:pt>
                <c:pt idx="1">
                  <c:v>966.000000</c:v>
                </c:pt>
                <c:pt idx="2">
                  <c:v>900.000000</c:v>
                </c:pt>
                <c:pt idx="3">
                  <c:v>496.000000</c:v>
                </c:pt>
              </c:numCache>
            </c:numRef>
          </c:yVal>
          <c:smooth val="1"/>
        </c:ser>
        <c:ser>
          <c:idx val="3"/>
          <c:order val="3"/>
          <c:tx>
            <c:strRef>
              <c:f>'Tabelle1'!$A$19</c:f>
              <c:strCache>
                <c:ptCount val="1"/>
                <c:pt idx="0">
                  <c:v>5,56 x39 7N6 MSC</c:v>
                </c:pt>
              </c:strCache>
            </c:strRef>
          </c:tx>
          <c:spPr>
            <a:noFill/>
            <a:ln w="19050" cap="rnd">
              <a:solidFill>
                <a:schemeClr val="accent4"/>
              </a:solidFill>
              <a:prstDash val="solid"/>
              <a:round/>
            </a:ln>
            <a:effectLst/>
          </c:spPr>
          <c:marker>
            <c:symbol val="none"/>
            <c:size val="4"/>
            <c:spPr>
              <a:noFill/>
              <a:ln w="19050" cap="rnd">
                <a:solidFill>
                  <a:schemeClr val="accent4"/>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'Tabelle1'!$E$19:$E$24</c:f>
              <c:numCache>
                <c:ptCount val="6"/>
                <c:pt idx="0">
                  <c:v>4.817800</c:v>
                </c:pt>
                <c:pt idx="1">
                  <c:v>3.757000</c:v>
                </c:pt>
                <c:pt idx="2">
                  <c:v>2.968200</c:v>
                </c:pt>
                <c:pt idx="3">
                  <c:v>2.301800</c:v>
                </c:pt>
                <c:pt idx="4">
                  <c:v>1.764600</c:v>
                </c:pt>
                <c:pt idx="5">
                  <c:v>1.305600</c:v>
                </c:pt>
              </c:numCache>
            </c:numRef>
          </c:xVal>
          <c:yVal>
            <c:numRef>
              <c:f>'Tabelle1'!$D$19:$D$24</c:f>
              <c:numCache>
                <c:ptCount val="6"/>
                <c:pt idx="0">
                  <c:v>1417.000000</c:v>
                </c:pt>
                <c:pt idx="1">
                  <c:v>1105.000000</c:v>
                </c:pt>
                <c:pt idx="2">
                  <c:v>873.000000</c:v>
                </c:pt>
                <c:pt idx="3">
                  <c:v>677.000000</c:v>
                </c:pt>
                <c:pt idx="4">
                  <c:v>519.000000</c:v>
                </c:pt>
                <c:pt idx="5">
                  <c:v>384.000000</c:v>
                </c:pt>
              </c:numCache>
            </c:numRef>
          </c:yVal>
          <c:smooth val="1"/>
        </c:ser>
        <c:ser>
          <c:idx val="4"/>
          <c:order val="4"/>
          <c:tx>
            <c:strRef>
              <c:f>'Tabelle1'!$A$26</c:f>
              <c:strCache>
                <c:ptCount val="1"/>
                <c:pt idx="0">
                  <c:v>5,56 x 45nn SS109</c:v>
                </c:pt>
              </c:strCache>
            </c:strRef>
          </c:tx>
          <c:spPr>
            <a:noFill/>
            <a:ln w="19050" cap="rnd">
              <a:solidFill>
                <a:schemeClr val="accent5"/>
              </a:solidFill>
              <a:prstDash val="solid"/>
              <a:round/>
            </a:ln>
            <a:effectLst/>
          </c:spPr>
          <c:marker>
            <c:symbol val="none"/>
            <c:size val="4"/>
            <c:spPr>
              <a:noFill/>
              <a:ln w="19050" cap="rnd">
                <a:solidFill>
                  <a:schemeClr val="accent5"/>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'Tabelle1'!$E$26:$E$31</c:f>
              <c:numCache>
                <c:ptCount val="6"/>
                <c:pt idx="0">
                  <c:v>6.832000</c:v>
                </c:pt>
                <c:pt idx="1">
                  <c:v>5.468000</c:v>
                </c:pt>
                <c:pt idx="2">
                  <c:v>4.324000</c:v>
                </c:pt>
                <c:pt idx="3">
                  <c:v>3.336000</c:v>
                </c:pt>
                <c:pt idx="4">
                  <c:v>2.600000</c:v>
                </c:pt>
                <c:pt idx="5">
                  <c:v>1.976000</c:v>
                </c:pt>
              </c:numCache>
            </c:numRef>
          </c:xVal>
          <c:yVal>
            <c:numRef>
              <c:f>'Tabelle1'!$D$26:$D$31</c:f>
              <c:numCache>
                <c:ptCount val="6"/>
                <c:pt idx="0">
                  <c:v>1708.000000</c:v>
                </c:pt>
                <c:pt idx="1">
                  <c:v>1367.000000</c:v>
                </c:pt>
                <c:pt idx="2">
                  <c:v>1081.000000</c:v>
                </c:pt>
                <c:pt idx="3">
                  <c:v>834.000000</c:v>
                </c:pt>
                <c:pt idx="4">
                  <c:v>650.000000</c:v>
                </c:pt>
                <c:pt idx="5">
                  <c:v>494.000000</c:v>
                </c:pt>
              </c:numCache>
            </c:numRef>
          </c:yVal>
          <c:smooth val="1"/>
        </c:ser>
        <c:ser>
          <c:idx val="5"/>
          <c:order val="5"/>
          <c:tx>
            <c:strRef>
              <c:f>'Tabelle1'!$A$40</c:f>
              <c:strCache>
                <c:ptCount val="1"/>
                <c:pt idx="0">
                  <c:v>7,62 x 51 M80</c:v>
                </c:pt>
              </c:strCache>
            </c:strRef>
          </c:tx>
          <c:spPr>
            <a:noFill/>
            <a:ln w="19050" cap="rnd">
              <a:solidFill>
                <a:schemeClr val="accent6"/>
              </a:solidFill>
              <a:prstDash val="solid"/>
              <a:round/>
            </a:ln>
            <a:effectLst/>
          </c:spPr>
          <c:marker>
            <c:symbol val="none"/>
            <c:size val="4"/>
            <c:spPr>
              <a:noFill/>
              <a:ln w="19050" cap="rnd">
                <a:solidFill>
                  <a:schemeClr val="accent6"/>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'Tabelle1'!$E$40:$E$45</c:f>
              <c:numCache>
                <c:ptCount val="6"/>
                <c:pt idx="0">
                  <c:v>33.430500</c:v>
                </c:pt>
                <c:pt idx="1">
                  <c:v>27.740000</c:v>
                </c:pt>
                <c:pt idx="2">
                  <c:v>23.037500</c:v>
                </c:pt>
                <c:pt idx="3">
                  <c:v>18.886000</c:v>
                </c:pt>
                <c:pt idx="4">
                  <c:v>15.314000</c:v>
                </c:pt>
                <c:pt idx="5">
                  <c:v>12.302500</c:v>
                </c:pt>
              </c:numCache>
            </c:numRef>
          </c:xVal>
          <c:yVal>
            <c:numRef>
              <c:f>'Tabelle1'!$D$40:$D$45</c:f>
              <c:numCache>
                <c:ptCount val="6"/>
                <c:pt idx="0">
                  <c:v>3519.000000</c:v>
                </c:pt>
                <c:pt idx="1">
                  <c:v>2920.000000</c:v>
                </c:pt>
                <c:pt idx="2">
                  <c:v>2425.000000</c:v>
                </c:pt>
                <c:pt idx="3">
                  <c:v>1988.000000</c:v>
                </c:pt>
                <c:pt idx="4">
                  <c:v>1612.000000</c:v>
                </c:pt>
                <c:pt idx="5">
                  <c:v>1295.000000</c:v>
                </c:pt>
              </c:numCache>
            </c:numRef>
          </c:yVal>
          <c:smooth val="1"/>
        </c:ser>
        <c:ser>
          <c:idx val="6"/>
          <c:order val="6"/>
          <c:tx>
            <c:strRef>
              <c:f>'Tabelle1'!$A$47</c:f>
              <c:strCache>
                <c:ptCount val="1"/>
                <c:pt idx="0">
                  <c:v>,338 lapua</c:v>
                </c:pt>
              </c:strCache>
            </c:strRef>
          </c:tx>
          <c:spPr>
            <a:noFill/>
            <a:ln w="19050" cap="rnd">
              <a:solidFill>
                <a:srgbClr val="255E91"/>
              </a:solidFill>
              <a:prstDash val="solid"/>
              <a:round/>
            </a:ln>
            <a:effectLst/>
          </c:spPr>
          <c:marker>
            <c:symbol val="none"/>
            <c:size val="4"/>
            <c:spPr>
              <a:noFill/>
              <a:ln w="19050" cap="rnd">
                <a:solidFill>
                  <a:srgbClr val="255E9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'Tabelle1'!$E$47:$E$57</c:f>
              <c:numCache>
                <c:ptCount val="11"/>
                <c:pt idx="0">
                  <c:v>109.609200</c:v>
                </c:pt>
                <c:pt idx="1">
                  <c:v>86.151600</c:v>
                </c:pt>
                <c:pt idx="2">
                  <c:v>66.857400</c:v>
                </c:pt>
                <c:pt idx="3">
                  <c:v>51.127200</c:v>
                </c:pt>
                <c:pt idx="4">
                  <c:v>38.475000</c:v>
                </c:pt>
                <c:pt idx="5">
                  <c:v>28.657800</c:v>
                </c:pt>
                <c:pt idx="6">
                  <c:v>21.400200</c:v>
                </c:pt>
                <c:pt idx="7">
                  <c:v>16.443000</c:v>
                </c:pt>
                <c:pt idx="8">
                  <c:v>13.413600</c:v>
                </c:pt>
                <c:pt idx="9">
                  <c:v>11.502000</c:v>
                </c:pt>
                <c:pt idx="10">
                  <c:v>10.141200</c:v>
                </c:pt>
              </c:numCache>
            </c:numRef>
          </c:xVal>
          <c:yVal>
            <c:numRef>
              <c:f>'Tabelle1'!$D$47:$D$57</c:f>
              <c:numCache>
                <c:ptCount val="11"/>
                <c:pt idx="0">
                  <c:v>6766.000000</c:v>
                </c:pt>
                <c:pt idx="1">
                  <c:v>5318.000000</c:v>
                </c:pt>
                <c:pt idx="2">
                  <c:v>4127.000000</c:v>
                </c:pt>
                <c:pt idx="3">
                  <c:v>3156.000000</c:v>
                </c:pt>
                <c:pt idx="4">
                  <c:v>2375.000000</c:v>
                </c:pt>
                <c:pt idx="5">
                  <c:v>1769.000000</c:v>
                </c:pt>
                <c:pt idx="6">
                  <c:v>1321.000000</c:v>
                </c:pt>
                <c:pt idx="7">
                  <c:v>1015.000000</c:v>
                </c:pt>
                <c:pt idx="8">
                  <c:v>828.000000</c:v>
                </c:pt>
                <c:pt idx="9">
                  <c:v>710.000000</c:v>
                </c:pt>
                <c:pt idx="10">
                  <c:v>626.000000</c:v>
                </c:pt>
              </c:numCache>
            </c:numRef>
          </c:yVal>
          <c:smooth val="1"/>
        </c:ser>
        <c:ser>
          <c:idx val="7"/>
          <c:order val="7"/>
          <c:tx>
            <c:strRef>
              <c:f>'Tabelle1'!$L$3</c:f>
              <c:strCache>
                <c:ptCount val="1"/>
                <c:pt idx="0">
                  <c:v>FSP 5,56</c:v>
                </c:pt>
              </c:strCache>
            </c:strRef>
          </c:tx>
          <c:spPr>
            <a:noFill/>
            <a:ln w="19050" cap="rnd">
              <a:solidFill>
                <a:srgbClr val="9E480E"/>
              </a:solidFill>
              <a:prstDash val="solid"/>
              <a:round/>
            </a:ln>
            <a:effectLst/>
          </c:spPr>
          <c:marker>
            <c:symbol val="none"/>
            <c:size val="4"/>
            <c:spPr>
              <a:noFill/>
              <a:ln w="19050" cap="rnd">
                <a:solidFill>
                  <a:srgbClr val="9E480E"/>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'Tabelle1'!$Q$4:$Q$10</c:f>
              <c:numCache>
                <c:ptCount val="7"/>
                <c:pt idx="0">
                  <c:v>1.100000</c:v>
                </c:pt>
                <c:pt idx="1">
                  <c:v>0.908486</c:v>
                </c:pt>
                <c:pt idx="2">
                  <c:v>0.619684</c:v>
                </c:pt>
                <c:pt idx="3">
                  <c:v>0.288319</c:v>
                </c:pt>
                <c:pt idx="4">
                  <c:v>0.110790</c:v>
                </c:pt>
                <c:pt idx="5">
                  <c:v>0.016359</c:v>
                </c:pt>
                <c:pt idx="6">
                  <c:v>0.000357</c:v>
                </c:pt>
              </c:numCache>
            </c:numRef>
          </c:xVal>
          <c:yVal>
            <c:numRef>
              <c:f>'Tabelle1'!$O$4:$O$10</c:f>
              <c:numCache>
                <c:ptCount val="5"/>
                <c:pt idx="0">
                  <c:v>550.000000</c:v>
                </c:pt>
                <c:pt idx="1">
                  <c:v>375.157997</c:v>
                </c:pt>
                <c:pt idx="2">
                  <c:v>174.548952</c:v>
                </c:pt>
                <c:pt idx="3">
                  <c:v>37.785339</c:v>
                </c:pt>
                <c:pt idx="4">
                  <c:v>5.579315</c:v>
                </c:pt>
              </c:numCache>
            </c:numRef>
          </c:yVal>
          <c:smooth val="1"/>
        </c:ser>
        <c:ser>
          <c:idx val="8"/>
          <c:order val="8"/>
          <c:tx>
            <c:strRef>
              <c:f>'Tabelle1'!$L$15</c:f>
              <c:strCache>
                <c:ptCount val="1"/>
                <c:pt idx="0">
                  <c:v>FSP 7,62</c:v>
                </c:pt>
              </c:strCache>
            </c:strRef>
          </c:tx>
          <c:spPr>
            <a:noFill/>
            <a:ln w="19050" cap="rnd">
              <a:solidFill>
                <a:srgbClr val="636363"/>
              </a:solidFill>
              <a:prstDash val="solid"/>
              <a:round/>
            </a:ln>
            <a:effectLst/>
          </c:spPr>
          <c:marker>
            <c:symbol val="none"/>
            <c:size val="4"/>
            <c:spPr>
              <a:noFill/>
              <a:ln w="19050" cap="rnd">
                <a:solidFill>
                  <a:srgbClr val="636363"/>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'Tabelle1'!$Q$16:$Q$22</c:f>
              <c:numCache>
                <c:ptCount val="7"/>
                <c:pt idx="0">
                  <c:v>2.840000</c:v>
                </c:pt>
                <c:pt idx="1">
                  <c:v>2.452353</c:v>
                </c:pt>
                <c:pt idx="2">
                  <c:v>2.117618</c:v>
                </c:pt>
                <c:pt idx="3">
                  <c:v>1.578981</c:v>
                </c:pt>
                <c:pt idx="4">
                  <c:v>1.363457</c:v>
                </c:pt>
                <c:pt idx="5">
                  <c:v>0.654583</c:v>
                </c:pt>
                <c:pt idx="6">
                  <c:v>0.150873</c:v>
                </c:pt>
              </c:numCache>
            </c:numRef>
          </c:xVal>
          <c:yVal>
            <c:numRef>
              <c:f>'Tabelle1'!$O$16:$O$22</c:f>
              <c:numCache>
                <c:ptCount val="7"/>
                <c:pt idx="0">
                  <c:v>1420.000000</c:v>
                </c:pt>
                <c:pt idx="1">
                  <c:v>1058.809039</c:v>
                </c:pt>
                <c:pt idx="2">
                  <c:v>789.490550</c:v>
                </c:pt>
                <c:pt idx="3">
                  <c:v>438.940372</c:v>
                </c:pt>
                <c:pt idx="4">
                  <c:v>327.291573</c:v>
                </c:pt>
                <c:pt idx="5">
                  <c:v>75.436460</c:v>
                </c:pt>
                <c:pt idx="6">
                  <c:v>4.007507</c:v>
                </c:pt>
              </c:numCache>
            </c:numRef>
          </c:yVal>
          <c:smooth val="1"/>
        </c:ser>
        <c:ser>
          <c:idx val="9"/>
          <c:order val="9"/>
          <c:tx>
            <c:strRef>
              <c:f>'Tabelle1'!$L$27</c:f>
              <c:strCache>
                <c:ptCount val="1"/>
                <c:pt idx="0">
                  <c:v>FSP 12,7</c:v>
                </c:pt>
              </c:strCache>
            </c:strRef>
          </c:tx>
          <c:spPr>
            <a:noFill/>
            <a:ln w="19050" cap="rnd">
              <a:solidFill>
                <a:srgbClr val="997300"/>
              </a:solidFill>
              <a:prstDash val="solid"/>
              <a:round/>
            </a:ln>
            <a:effectLst/>
          </c:spPr>
          <c:marker>
            <c:symbol val="none"/>
            <c:size val="4"/>
            <c:spPr>
              <a:noFill/>
              <a:ln w="19050" cap="rnd">
                <a:solidFill>
                  <a:srgbClr val="997300"/>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'Tabelle1'!$Q$28:$Q$34</c:f>
              <c:numCache>
                <c:ptCount val="7"/>
                <c:pt idx="0">
                  <c:v>13.390000</c:v>
                </c:pt>
                <c:pt idx="1">
                  <c:v>12.275302</c:v>
                </c:pt>
                <c:pt idx="2">
                  <c:v>11.253401</c:v>
                </c:pt>
                <c:pt idx="3">
                  <c:v>9.457732</c:v>
                </c:pt>
                <c:pt idx="4">
                  <c:v>8.670390</c:v>
                </c:pt>
                <c:pt idx="5">
                  <c:v>5.614314</c:v>
                </c:pt>
                <c:pt idx="6">
                  <c:v>2.354034</c:v>
                </c:pt>
              </c:numCache>
            </c:numRef>
          </c:xVal>
          <c:yVal>
            <c:numRef>
              <c:f>'Tabelle1'!$O$28:$O$34</c:f>
              <c:numCache>
                <c:ptCount val="7"/>
                <c:pt idx="0">
                  <c:v>6695.000000</c:v>
                </c:pt>
                <c:pt idx="1">
                  <c:v>5626.700584</c:v>
                </c:pt>
                <c:pt idx="2">
                  <c:v>4728.866238</c:v>
                </c:pt>
                <c:pt idx="3">
                  <c:v>3340.130828</c:v>
                </c:pt>
                <c:pt idx="4">
                  <c:v>2807.156995</c:v>
                </c:pt>
                <c:pt idx="5">
                  <c:v>1177.017236</c:v>
                </c:pt>
                <c:pt idx="6">
                  <c:v>206.926000</c:v>
                </c:pt>
              </c:numCache>
            </c:numRef>
          </c:yVal>
          <c:smooth val="1"/>
        </c:ser>
        <c:ser>
          <c:idx val="10"/>
          <c:order val="10"/>
          <c:tx>
            <c:strRef>
              <c:f>'Tabelle1'!$L$39</c:f>
              <c:strCache>
                <c:ptCount val="1"/>
                <c:pt idx="0">
                  <c:v>FSP 20</c:v>
                </c:pt>
              </c:strCache>
            </c:strRef>
          </c:tx>
          <c:spPr>
            <a:noFill/>
            <a:ln w="19050" cap="rnd">
              <a:solidFill>
                <a:srgbClr val="264478"/>
              </a:solidFill>
              <a:prstDash val="solid"/>
              <a:round/>
            </a:ln>
            <a:effectLst/>
          </c:spPr>
          <c:marker>
            <c:symbol val="none"/>
            <c:size val="4"/>
            <c:spPr>
              <a:noFill/>
              <a:ln w="19050" cap="rnd">
                <a:solidFill>
                  <a:srgbClr val="264478"/>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'Tabelle1'!$Q$40:$Q$46</c:f>
              <c:numCache>
                <c:ptCount val="7"/>
                <c:pt idx="0">
                  <c:v>52.730000</c:v>
                </c:pt>
                <c:pt idx="1">
                  <c:v>46.619733</c:v>
                </c:pt>
                <c:pt idx="2">
                  <c:v>41.217514</c:v>
                </c:pt>
                <c:pt idx="3">
                  <c:v>32.218536</c:v>
                </c:pt>
                <c:pt idx="4">
                  <c:v>28.485105</c:v>
                </c:pt>
                <c:pt idx="5">
                  <c:v>15.387847</c:v>
                </c:pt>
                <c:pt idx="6">
                  <c:v>4.490534</c:v>
                </c:pt>
              </c:numCache>
            </c:numRef>
          </c:xVal>
          <c:yVal>
            <c:numRef>
              <c:f>'Tabelle1'!$O$40:$O$46</c:f>
              <c:numCache>
                <c:ptCount val="7"/>
                <c:pt idx="0">
                  <c:v>26365.000000</c:v>
                </c:pt>
                <c:pt idx="1">
                  <c:v>20608.756811</c:v>
                </c:pt>
                <c:pt idx="2">
                  <c:v>16109.268246</c:v>
                </c:pt>
                <c:pt idx="3">
                  <c:v>9842.917634</c:v>
                </c:pt>
                <c:pt idx="4">
                  <c:v>7693.923605</c:v>
                </c:pt>
                <c:pt idx="5">
                  <c:v>2245.266847</c:v>
                </c:pt>
                <c:pt idx="6">
                  <c:v>191.208922</c:v>
                </c:pt>
              </c:numCache>
            </c:numRef>
          </c:yVal>
          <c:smooth val="1"/>
        </c:ser>
        <c:ser>
          <c:idx val="11"/>
          <c:order val="11"/>
          <c:tx>
            <c:strRef>
              <c:f>'Tabelle1'!$A$60</c:f>
              <c:strCache>
                <c:ptCount val="1"/>
                <c:pt idx="0">
                  <c:v>12,7 x 99 mm</c:v>
                </c:pt>
              </c:strCache>
            </c:strRef>
          </c:tx>
          <c:spPr>
            <a:noFill/>
            <a:ln w="19050" cap="rnd">
              <a:solidFill>
                <a:srgbClr val="43682B"/>
              </a:solidFill>
              <a:prstDash val="solid"/>
              <a:round/>
            </a:ln>
            <a:effectLst/>
          </c:spPr>
          <c:marker>
            <c:symbol val="none"/>
            <c:size val="4"/>
            <c:spPr>
              <a:noFill/>
              <a:ln w="19050" cap="rnd">
                <a:solidFill>
                  <a:srgbClr val="43682B"/>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'Tabelle1'!$E$61:$E$69</c:f>
              <c:numCache>
                <c:ptCount val="9"/>
                <c:pt idx="0">
                  <c:v>748.000000</c:v>
                </c:pt>
                <c:pt idx="1">
                  <c:v>677.918531</c:v>
                </c:pt>
                <c:pt idx="2">
                  <c:v>603.437665</c:v>
                </c:pt>
                <c:pt idx="3">
                  <c:v>537.139787</c:v>
                </c:pt>
                <c:pt idx="4">
                  <c:v>478.125857</c:v>
                </c:pt>
                <c:pt idx="5">
                  <c:v>300.166254</c:v>
                </c:pt>
                <c:pt idx="6">
                  <c:v>188.443647</c:v>
                </c:pt>
                <c:pt idx="7">
                  <c:v>118.304464</c:v>
                </c:pt>
                <c:pt idx="8">
                  <c:v>74.271256</c:v>
                </c:pt>
              </c:numCache>
            </c:numRef>
          </c:xVal>
          <c:yVal>
            <c:numRef>
              <c:f>'Tabelle1'!$D$61:$D$69</c:f>
              <c:numCache>
                <c:ptCount val="9"/>
                <c:pt idx="0">
                  <c:v>17000.000000</c:v>
                </c:pt>
                <c:pt idx="1">
                  <c:v>15407.239339</c:v>
                </c:pt>
                <c:pt idx="2">
                  <c:v>13714.492382</c:v>
                </c:pt>
                <c:pt idx="3">
                  <c:v>12207.722432</c:v>
                </c:pt>
                <c:pt idx="4">
                  <c:v>10866.496756</c:v>
                </c:pt>
                <c:pt idx="5">
                  <c:v>6821.960318</c:v>
                </c:pt>
                <c:pt idx="6">
                  <c:v>4282.810148</c:v>
                </c:pt>
                <c:pt idx="7">
                  <c:v>2688.737827</c:v>
                </c:pt>
                <c:pt idx="8">
                  <c:v>1687.983089</c:v>
                </c:pt>
              </c:numCache>
            </c:numRef>
          </c:yVal>
          <c:smooth val="1"/>
        </c:ser>
        <c:ser>
          <c:idx val="12"/>
          <c:order val="12"/>
          <c:tx>
            <c:strRef>
              <c:f>'Tabelle1'!$A$73</c:f>
              <c:strCache>
                <c:ptCount val="1"/>
                <c:pt idx="0">
                  <c:v>12,7x108</c:v>
                </c:pt>
              </c:strCache>
            </c:strRef>
          </c:tx>
          <c:spPr>
            <a:noFill/>
            <a:ln w="19050" cap="rnd">
              <a:solidFill>
                <a:srgbClr val="7CAFDD"/>
              </a:solidFill>
              <a:prstDash val="solid"/>
              <a:round/>
            </a:ln>
            <a:effectLst/>
          </c:spPr>
          <c:marker>
            <c:symbol val="none"/>
            <c:size val="4"/>
            <c:spPr>
              <a:noFill/>
              <a:ln w="19050" cap="rnd">
                <a:solidFill>
                  <a:srgbClr val="7CAFDD"/>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'Tabelle1'!$E$73:$E$81</c:f>
              <c:numCache>
                <c:ptCount val="9"/>
                <c:pt idx="0">
                  <c:v>772.800000</c:v>
                </c:pt>
                <c:pt idx="1">
                  <c:v>705.264000</c:v>
                </c:pt>
                <c:pt idx="2">
                  <c:v>635.040000</c:v>
                </c:pt>
                <c:pt idx="3">
                  <c:v>572.880000</c:v>
                </c:pt>
                <c:pt idx="4">
                  <c:v>531.408000</c:v>
                </c:pt>
                <c:pt idx="5">
                  <c:v>328.080000</c:v>
                </c:pt>
                <c:pt idx="6">
                  <c:v>200.592000</c:v>
                </c:pt>
                <c:pt idx="7">
                  <c:v>124.704000</c:v>
                </c:pt>
                <c:pt idx="8">
                  <c:v>95.472000</c:v>
                </c:pt>
              </c:numCache>
            </c:numRef>
          </c:xVal>
          <c:yVal>
            <c:numRef>
              <c:f>'Tabelle1'!$D$73:$D$81</c:f>
              <c:numCache>
                <c:ptCount val="9"/>
                <c:pt idx="0">
                  <c:v>16100.000000</c:v>
                </c:pt>
                <c:pt idx="1">
                  <c:v>14693.000000</c:v>
                </c:pt>
                <c:pt idx="2">
                  <c:v>13230.000000</c:v>
                </c:pt>
                <c:pt idx="3">
                  <c:v>11935.000000</c:v>
                </c:pt>
                <c:pt idx="4">
                  <c:v>11071.000000</c:v>
                </c:pt>
                <c:pt idx="5">
                  <c:v>6835.000000</c:v>
                </c:pt>
                <c:pt idx="6">
                  <c:v>4179.000000</c:v>
                </c:pt>
                <c:pt idx="7">
                  <c:v>2598.000000</c:v>
                </c:pt>
                <c:pt idx="8">
                  <c:v>1989.000000</c:v>
                </c:pt>
              </c:numCache>
            </c:numRef>
          </c:yVal>
          <c:smooth val="1"/>
        </c:ser>
        <c:ser>
          <c:idx val="13"/>
          <c:order val="13"/>
          <c:tx>
            <c:strRef>
              <c:f>'Tabelle1'!$A$88</c:f>
              <c:strCache/>
            </c:strRef>
          </c:tx>
          <c:spPr>
            <a:noFill/>
            <a:ln w="19050" cap="rnd">
              <a:solidFill>
                <a:srgbClr val="F1975A"/>
              </a:solidFill>
              <a:prstDash val="solid"/>
              <a:round/>
            </a:ln>
            <a:effectLst/>
          </c:spPr>
          <c:marker>
            <c:symbol val="none"/>
            <c:size val="4"/>
            <c:spPr>
              <a:noFill/>
              <a:ln w="19050" cap="rnd">
                <a:solidFill>
                  <a:srgbClr val="F1975A"/>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'Tabelle1'!$E$89:$E$99</c:f>
              <c:numCache>
                <c:ptCount val="11"/>
                <c:pt idx="0">
                  <c:v>2048.000000</c:v>
                </c:pt>
                <c:pt idx="1">
                  <c:v>1978.417077</c:v>
                </c:pt>
                <c:pt idx="2">
                  <c:v>1921.997742</c:v>
                </c:pt>
                <c:pt idx="3">
                  <c:v>1840.371101</c:v>
                </c:pt>
                <c:pt idx="4">
                  <c:v>1736.902528</c:v>
                </c:pt>
                <c:pt idx="5">
                  <c:v>1547.089832</c:v>
                </c:pt>
                <c:pt idx="6">
                  <c:v>1300.545823</c:v>
                </c:pt>
                <c:pt idx="7">
                  <c:v>1031.824481</c:v>
                </c:pt>
                <c:pt idx="8">
                  <c:v>772.602375</c:v>
                </c:pt>
                <c:pt idx="9">
                  <c:v>500.589062</c:v>
                </c:pt>
                <c:pt idx="10">
                  <c:v>280.660813</c:v>
                </c:pt>
              </c:numCache>
            </c:numRef>
          </c:xVal>
          <c:yVal>
            <c:numRef>
              <c:f>'Tabelle1'!$D$89:$D$99</c:f>
              <c:numCache>
                <c:ptCount val="11"/>
                <c:pt idx="0">
                  <c:v>32000.000000</c:v>
                </c:pt>
                <c:pt idx="1">
                  <c:v>30912.766829</c:v>
                </c:pt>
                <c:pt idx="2">
                  <c:v>30031.214724</c:v>
                </c:pt>
                <c:pt idx="3">
                  <c:v>28755.798446</c:v>
                </c:pt>
                <c:pt idx="4">
                  <c:v>27139.101993</c:v>
                </c:pt>
                <c:pt idx="5">
                  <c:v>24173.278618</c:v>
                </c:pt>
                <c:pt idx="6">
                  <c:v>20321.028478</c:v>
                </c:pt>
                <c:pt idx="7">
                  <c:v>16122.257508</c:v>
                </c:pt>
                <c:pt idx="8">
                  <c:v>12071.912108</c:v>
                </c:pt>
                <c:pt idx="9">
                  <c:v>7821.704091</c:v>
                </c:pt>
                <c:pt idx="10">
                  <c:v>4385.325198</c:v>
                </c:pt>
              </c:numCache>
            </c:numRef>
          </c:yVal>
          <c:smooth val="1"/>
        </c:ser>
        <c:axId val="2094734552"/>
        <c:axId val="2094734553"/>
      </c:scatterChart>
      <c:valAx>
        <c:axId val="2094734552"/>
        <c:scaling>
          <c:orientation val="minMax"/>
        </c:scaling>
        <c:delete val="0"/>
        <c:axPos val="b"/>
        <c:title>
          <c:tx>
            <c:rich>
              <a:bodyPr rot="0"/>
              <a:lstStyle/>
              <a:p>
                <a:pPr>
                  <a:defRPr b="0" i="0" strike="noStrike" sz="1000" u="none">
                    <a:solidFill>
                      <a:srgbClr val="595959"/>
                    </a:solidFill>
                    <a:latin typeface="Calibri"/>
                  </a:defRPr>
                </a:pPr>
                <a:r>
                  <a:rPr b="0" i="0" strike="noStrike" sz="1000" u="none">
                    <a:solidFill>
                      <a:srgbClr val="595959"/>
                    </a:solidFill>
                    <a:latin typeface="Calibri"/>
                  </a:rPr>
                  <a:t>P</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3"/>
        <c:crosses val="autoZero"/>
        <c:crossBetween val="between"/>
        <c:majorUnit val="750"/>
        <c:minorUnit val="375"/>
      </c:valAx>
      <c:valAx>
        <c:axId val="2094734553"/>
        <c:scaling>
          <c:orientation val="minMax"/>
        </c:scaling>
        <c:delete val="0"/>
        <c:axPos val="l"/>
        <c:majorGridlines>
          <c:spPr>
            <a:ln w="12700" cap="flat">
              <a:solidFill>
                <a:srgbClr val="D9D9D9"/>
              </a:solidFill>
              <a:prstDash val="solid"/>
              <a:round/>
            </a:ln>
          </c:spPr>
        </c:majorGridlines>
        <c:title>
          <c:tx>
            <c:rich>
              <a:bodyPr rot="-5400000"/>
              <a:lstStyle/>
              <a:p>
                <a:pPr>
                  <a:defRPr b="0" i="0" strike="noStrike" sz="1000" u="none">
                    <a:solidFill>
                      <a:srgbClr val="595959"/>
                    </a:solidFill>
                    <a:latin typeface="Calibri"/>
                  </a:defRPr>
                </a:pPr>
                <a:r>
                  <a:rPr b="0" i="0" strike="noStrike" sz="1000" u="none">
                    <a:solidFill>
                      <a:srgbClr val="595959"/>
                    </a:solidFill>
                    <a:latin typeface="Calibri"/>
                  </a:rPr>
                  <a:t>E</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10000"/>
        <c:minorUnit val="5000"/>
      </c:valAx>
      <c:spPr>
        <a:noFill/>
        <a:ln w="12700" cap="flat">
          <a:noFill/>
          <a:miter lim="400000"/>
        </a:ln>
        <a:effectLst/>
      </c:spPr>
    </c:plotArea>
    <c:legend>
      <c:legendPos val="r"/>
      <c:layout>
        <c:manualLayout>
          <c:xMode val="edge"/>
          <c:yMode val="edge"/>
          <c:x val="0.844265"/>
          <c:y val="0.252184"/>
          <c:w val="0.155735"/>
          <c:h val="0.405182"/>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68265"/>
          <c:y val="0.02717"/>
          <c:w val="0.72912"/>
          <c:h val="0.877999"/>
        </c:manualLayout>
      </c:layout>
      <c:scatterChart>
        <c:scatterStyle val="smoothMarker"/>
        <c:varyColors val="0"/>
        <c:ser>
          <c:idx val="0"/>
          <c:order val="0"/>
          <c:tx>
            <c:strRef>
              <c:f>'Tabelle1'!$A$2</c:f>
              <c:strCache>
                <c:ptCount val="1"/>
                <c:pt idx="0">
                  <c:v>9x19mm</c:v>
                </c:pt>
              </c:strCache>
            </c:strRef>
          </c:tx>
          <c:spPr>
            <a:noFill/>
            <a:ln w="19050" cap="rnd">
              <a:solidFill>
                <a:schemeClr val="accent1"/>
              </a:solidFill>
              <a:prstDash val="solid"/>
              <a:round/>
            </a:ln>
            <a:effectLst/>
          </c:spPr>
          <c:marker>
            <c:symbol val="none"/>
            <c:size val="4"/>
            <c:spPr>
              <a:noFill/>
              <a:ln w="19050" cap="rnd">
                <a:solidFill>
                  <a:schemeClr val="accent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'Tabelle1'!$E$2:$E$5</c:f>
              <c:numCache>
                <c:ptCount val="4"/>
                <c:pt idx="0">
                  <c:v>4.343350</c:v>
                </c:pt>
                <c:pt idx="1">
                  <c:v>4.209250</c:v>
                </c:pt>
                <c:pt idx="2">
                  <c:v>4.060250</c:v>
                </c:pt>
                <c:pt idx="3">
                  <c:v>3.769700</c:v>
                </c:pt>
              </c:numCache>
            </c:numRef>
          </c:xVal>
          <c:yVal>
            <c:numRef>
              <c:f>'Tabelle1'!$D$2:$D$5</c:f>
              <c:numCache>
                <c:ptCount val="4"/>
                <c:pt idx="0">
                  <c:v>583.000000</c:v>
                </c:pt>
                <c:pt idx="1">
                  <c:v>565.000000</c:v>
                </c:pt>
                <c:pt idx="2">
                  <c:v>545.000000</c:v>
                </c:pt>
                <c:pt idx="3">
                  <c:v>506.000000</c:v>
                </c:pt>
              </c:numCache>
            </c:numRef>
          </c:yVal>
          <c:smooth val="1"/>
        </c:ser>
        <c:ser>
          <c:idx val="1"/>
          <c:order val="1"/>
          <c:tx>
            <c:strRef>
              <c:f>'Tabelle1'!$A$7</c:f>
              <c:strCache/>
            </c:strRef>
          </c:tx>
          <c:spPr>
            <a:noFill/>
            <a:ln w="19050" cap="rnd">
              <a:solidFill>
                <a:schemeClr val="accent2"/>
              </a:solidFill>
              <a:prstDash val="solid"/>
              <a:round/>
            </a:ln>
            <a:effectLst/>
          </c:spPr>
          <c:marker>
            <c:symbol val="none"/>
            <c:size val="4"/>
            <c:spPr>
              <a:noFill/>
              <a:ln w="19050" cap="rnd">
                <a:solidFill>
                  <a:schemeClr val="accent2"/>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'Tabelle1'!$E$8:$E$12</c:f>
              <c:numCache>
                <c:ptCount val="5"/>
                <c:pt idx="0">
                  <c:v>5.532300</c:v>
                </c:pt>
                <c:pt idx="1">
                  <c:v>4.876200</c:v>
                </c:pt>
                <c:pt idx="2">
                  <c:v>4.317300</c:v>
                </c:pt>
                <c:pt idx="3">
                  <c:v>3.871800</c:v>
                </c:pt>
                <c:pt idx="4">
                  <c:v>3.547800</c:v>
                </c:pt>
              </c:numCache>
            </c:numRef>
          </c:xVal>
          <c:yVal>
            <c:numRef>
              <c:f>'Tabelle1'!$D$8:$D$12</c:f>
              <c:numCache>
                <c:ptCount val="5"/>
                <c:pt idx="0">
                  <c:v>683.000000</c:v>
                </c:pt>
                <c:pt idx="1">
                  <c:v>602.000000</c:v>
                </c:pt>
                <c:pt idx="2">
                  <c:v>533.000000</c:v>
                </c:pt>
                <c:pt idx="3">
                  <c:v>478.000000</c:v>
                </c:pt>
                <c:pt idx="4">
                  <c:v>438.000000</c:v>
                </c:pt>
              </c:numCache>
            </c:numRef>
          </c:yVal>
          <c:smooth val="1"/>
        </c:ser>
        <c:ser>
          <c:idx val="2"/>
          <c:order val="2"/>
          <c:tx>
            <c:strRef>
              <c:f>'Tabelle1'!$A$14</c:f>
              <c:strCache>
                <c:ptCount val="1"/>
                <c:pt idx="0">
                  <c:v>,357 Magnum</c:v>
                </c:pt>
              </c:strCache>
            </c:strRef>
          </c:tx>
          <c:spPr>
            <a:noFill/>
            <a:ln w="19050" cap="rnd">
              <a:solidFill>
                <a:schemeClr val="accent3"/>
              </a:solidFill>
              <a:prstDash val="solid"/>
              <a:round/>
            </a:ln>
            <a:effectLst/>
          </c:spPr>
          <c:marker>
            <c:symbol val="none"/>
            <c:size val="4"/>
            <c:spPr>
              <a:noFill/>
              <a:ln w="19050" cap="rnd">
                <a:solidFill>
                  <a:schemeClr val="accent3"/>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'Tabelle1'!$E$14:$E$17</c:f>
              <c:numCache>
                <c:ptCount val="4"/>
                <c:pt idx="0">
                  <c:v>10.342530</c:v>
                </c:pt>
                <c:pt idx="1">
                  <c:v>9.882180</c:v>
                </c:pt>
                <c:pt idx="2">
                  <c:v>9.207000</c:v>
                </c:pt>
                <c:pt idx="3">
                  <c:v>5.074080</c:v>
                </c:pt>
              </c:numCache>
            </c:numRef>
          </c:xVal>
          <c:yVal>
            <c:numRef>
              <c:f>'Tabelle1'!$D$14:$D$17</c:f>
              <c:numCache>
                <c:ptCount val="4"/>
                <c:pt idx="0">
                  <c:v>1011.000000</c:v>
                </c:pt>
                <c:pt idx="1">
                  <c:v>966.000000</c:v>
                </c:pt>
                <c:pt idx="2">
                  <c:v>900.000000</c:v>
                </c:pt>
                <c:pt idx="3">
                  <c:v>496.000000</c:v>
                </c:pt>
              </c:numCache>
            </c:numRef>
          </c:yVal>
          <c:smooth val="1"/>
        </c:ser>
        <c:ser>
          <c:idx val="3"/>
          <c:order val="3"/>
          <c:tx>
            <c:strRef>
              <c:f>'Tabelle1'!$A$19</c:f>
              <c:strCache>
                <c:ptCount val="1"/>
                <c:pt idx="0">
                  <c:v>5,56 x39 7N6 MSC</c:v>
                </c:pt>
              </c:strCache>
            </c:strRef>
          </c:tx>
          <c:spPr>
            <a:noFill/>
            <a:ln w="19050" cap="rnd">
              <a:solidFill>
                <a:schemeClr val="accent4"/>
              </a:solidFill>
              <a:prstDash val="solid"/>
              <a:round/>
            </a:ln>
            <a:effectLst/>
          </c:spPr>
          <c:marker>
            <c:symbol val="none"/>
            <c:size val="4"/>
            <c:spPr>
              <a:noFill/>
              <a:ln w="19050" cap="rnd">
                <a:solidFill>
                  <a:schemeClr val="accent4"/>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'Tabelle1'!$E$19:$E$24</c:f>
              <c:numCache>
                <c:ptCount val="6"/>
                <c:pt idx="0">
                  <c:v>4.817800</c:v>
                </c:pt>
                <c:pt idx="1">
                  <c:v>3.757000</c:v>
                </c:pt>
                <c:pt idx="2">
                  <c:v>2.968200</c:v>
                </c:pt>
                <c:pt idx="3">
                  <c:v>2.301800</c:v>
                </c:pt>
                <c:pt idx="4">
                  <c:v>1.764600</c:v>
                </c:pt>
                <c:pt idx="5">
                  <c:v>1.305600</c:v>
                </c:pt>
              </c:numCache>
            </c:numRef>
          </c:xVal>
          <c:yVal>
            <c:numRef>
              <c:f>'Tabelle1'!$D$19:$D$24</c:f>
              <c:numCache>
                <c:ptCount val="6"/>
                <c:pt idx="0">
                  <c:v>1417.000000</c:v>
                </c:pt>
                <c:pt idx="1">
                  <c:v>1105.000000</c:v>
                </c:pt>
                <c:pt idx="2">
                  <c:v>873.000000</c:v>
                </c:pt>
                <c:pt idx="3">
                  <c:v>677.000000</c:v>
                </c:pt>
                <c:pt idx="4">
                  <c:v>519.000000</c:v>
                </c:pt>
                <c:pt idx="5">
                  <c:v>384.000000</c:v>
                </c:pt>
              </c:numCache>
            </c:numRef>
          </c:yVal>
          <c:smooth val="1"/>
        </c:ser>
        <c:ser>
          <c:idx val="4"/>
          <c:order val="4"/>
          <c:tx>
            <c:strRef>
              <c:f>'Tabelle1'!$A$26</c:f>
              <c:strCache>
                <c:ptCount val="1"/>
                <c:pt idx="0">
                  <c:v>5,56 x 45nn SS109</c:v>
                </c:pt>
              </c:strCache>
            </c:strRef>
          </c:tx>
          <c:spPr>
            <a:noFill/>
            <a:ln w="19050" cap="rnd">
              <a:solidFill>
                <a:schemeClr val="accent5"/>
              </a:solidFill>
              <a:prstDash val="solid"/>
              <a:round/>
            </a:ln>
            <a:effectLst/>
          </c:spPr>
          <c:marker>
            <c:symbol val="none"/>
            <c:size val="4"/>
            <c:spPr>
              <a:noFill/>
              <a:ln w="19050" cap="rnd">
                <a:solidFill>
                  <a:schemeClr val="accent5"/>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'Tabelle1'!$E$26:$E$31</c:f>
              <c:numCache>
                <c:ptCount val="6"/>
                <c:pt idx="0">
                  <c:v>6.832000</c:v>
                </c:pt>
                <c:pt idx="1">
                  <c:v>5.468000</c:v>
                </c:pt>
                <c:pt idx="2">
                  <c:v>4.324000</c:v>
                </c:pt>
                <c:pt idx="3">
                  <c:v>3.336000</c:v>
                </c:pt>
                <c:pt idx="4">
                  <c:v>2.600000</c:v>
                </c:pt>
                <c:pt idx="5">
                  <c:v>1.976000</c:v>
                </c:pt>
              </c:numCache>
            </c:numRef>
          </c:xVal>
          <c:yVal>
            <c:numRef>
              <c:f>'Tabelle1'!$D$26:$D$31</c:f>
              <c:numCache>
                <c:ptCount val="6"/>
                <c:pt idx="0">
                  <c:v>1708.000000</c:v>
                </c:pt>
                <c:pt idx="1">
                  <c:v>1367.000000</c:v>
                </c:pt>
                <c:pt idx="2">
                  <c:v>1081.000000</c:v>
                </c:pt>
                <c:pt idx="3">
                  <c:v>834.000000</c:v>
                </c:pt>
                <c:pt idx="4">
                  <c:v>650.000000</c:v>
                </c:pt>
                <c:pt idx="5">
                  <c:v>494.000000</c:v>
                </c:pt>
              </c:numCache>
            </c:numRef>
          </c:yVal>
          <c:smooth val="1"/>
        </c:ser>
        <c:ser>
          <c:idx val="5"/>
          <c:order val="5"/>
          <c:tx>
            <c:strRef>
              <c:f>'Tabelle1'!$A$40</c:f>
              <c:strCache>
                <c:ptCount val="1"/>
                <c:pt idx="0">
                  <c:v>7,62 x 51 M80</c:v>
                </c:pt>
              </c:strCache>
            </c:strRef>
          </c:tx>
          <c:spPr>
            <a:noFill/>
            <a:ln w="19050" cap="rnd">
              <a:solidFill>
                <a:schemeClr val="accent6"/>
              </a:solidFill>
              <a:prstDash val="solid"/>
              <a:round/>
            </a:ln>
            <a:effectLst/>
          </c:spPr>
          <c:marker>
            <c:symbol val="none"/>
            <c:size val="4"/>
            <c:spPr>
              <a:noFill/>
              <a:ln w="19050" cap="rnd">
                <a:solidFill>
                  <a:schemeClr val="accent6"/>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'Tabelle1'!$E$40:$E$45</c:f>
              <c:numCache>
                <c:ptCount val="6"/>
                <c:pt idx="0">
                  <c:v>33.430500</c:v>
                </c:pt>
                <c:pt idx="1">
                  <c:v>27.740000</c:v>
                </c:pt>
                <c:pt idx="2">
                  <c:v>23.037500</c:v>
                </c:pt>
                <c:pt idx="3">
                  <c:v>18.886000</c:v>
                </c:pt>
                <c:pt idx="4">
                  <c:v>15.314000</c:v>
                </c:pt>
                <c:pt idx="5">
                  <c:v>12.302500</c:v>
                </c:pt>
              </c:numCache>
            </c:numRef>
          </c:xVal>
          <c:yVal>
            <c:numRef>
              <c:f>'Tabelle1'!$D$40:$D$45</c:f>
              <c:numCache>
                <c:ptCount val="6"/>
                <c:pt idx="0">
                  <c:v>3519.000000</c:v>
                </c:pt>
                <c:pt idx="1">
                  <c:v>2920.000000</c:v>
                </c:pt>
                <c:pt idx="2">
                  <c:v>2425.000000</c:v>
                </c:pt>
                <c:pt idx="3">
                  <c:v>1988.000000</c:v>
                </c:pt>
                <c:pt idx="4">
                  <c:v>1612.000000</c:v>
                </c:pt>
                <c:pt idx="5">
                  <c:v>1295.000000</c:v>
                </c:pt>
              </c:numCache>
            </c:numRef>
          </c:yVal>
          <c:smooth val="1"/>
        </c:ser>
        <c:ser>
          <c:idx val="6"/>
          <c:order val="6"/>
          <c:tx>
            <c:strRef>
              <c:f>'Tabelle1'!$A$47</c:f>
              <c:strCache>
                <c:ptCount val="1"/>
                <c:pt idx="0">
                  <c:v>,338 lapua</c:v>
                </c:pt>
              </c:strCache>
            </c:strRef>
          </c:tx>
          <c:spPr>
            <a:noFill/>
            <a:ln w="19050" cap="rnd">
              <a:solidFill>
                <a:srgbClr val="255E91"/>
              </a:solidFill>
              <a:prstDash val="solid"/>
              <a:round/>
            </a:ln>
            <a:effectLst/>
          </c:spPr>
          <c:marker>
            <c:symbol val="none"/>
            <c:size val="4"/>
            <c:spPr>
              <a:noFill/>
              <a:ln w="19050" cap="rnd">
                <a:solidFill>
                  <a:srgbClr val="255E9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'Tabelle1'!$E$47:$E$57</c:f>
              <c:numCache>
                <c:ptCount val="11"/>
                <c:pt idx="0">
                  <c:v>109.609200</c:v>
                </c:pt>
                <c:pt idx="1">
                  <c:v>86.151600</c:v>
                </c:pt>
                <c:pt idx="2">
                  <c:v>66.857400</c:v>
                </c:pt>
                <c:pt idx="3">
                  <c:v>51.127200</c:v>
                </c:pt>
                <c:pt idx="4">
                  <c:v>38.475000</c:v>
                </c:pt>
                <c:pt idx="5">
                  <c:v>28.657800</c:v>
                </c:pt>
                <c:pt idx="6">
                  <c:v>21.400200</c:v>
                </c:pt>
                <c:pt idx="7">
                  <c:v>16.443000</c:v>
                </c:pt>
                <c:pt idx="8">
                  <c:v>13.413600</c:v>
                </c:pt>
                <c:pt idx="9">
                  <c:v>11.502000</c:v>
                </c:pt>
                <c:pt idx="10">
                  <c:v>10.141200</c:v>
                </c:pt>
              </c:numCache>
            </c:numRef>
          </c:xVal>
          <c:yVal>
            <c:numRef>
              <c:f>'Tabelle1'!$D$47:$D$57</c:f>
              <c:numCache>
                <c:ptCount val="11"/>
                <c:pt idx="0">
                  <c:v>6766.000000</c:v>
                </c:pt>
                <c:pt idx="1">
                  <c:v>5318.000000</c:v>
                </c:pt>
                <c:pt idx="2">
                  <c:v>4127.000000</c:v>
                </c:pt>
                <c:pt idx="3">
                  <c:v>3156.000000</c:v>
                </c:pt>
                <c:pt idx="4">
                  <c:v>2375.000000</c:v>
                </c:pt>
                <c:pt idx="5">
                  <c:v>1769.000000</c:v>
                </c:pt>
                <c:pt idx="6">
                  <c:v>1321.000000</c:v>
                </c:pt>
                <c:pt idx="7">
                  <c:v>1015.000000</c:v>
                </c:pt>
                <c:pt idx="8">
                  <c:v>828.000000</c:v>
                </c:pt>
                <c:pt idx="9">
                  <c:v>710.000000</c:v>
                </c:pt>
                <c:pt idx="10">
                  <c:v>626.000000</c:v>
                </c:pt>
              </c:numCache>
            </c:numRef>
          </c:yVal>
          <c:smooth val="1"/>
        </c:ser>
        <c:ser>
          <c:idx val="7"/>
          <c:order val="7"/>
          <c:tx>
            <c:strRef>
              <c:f>'Tabelle1'!$L$3</c:f>
              <c:strCache>
                <c:ptCount val="1"/>
                <c:pt idx="0">
                  <c:v>FSP 5,56</c:v>
                </c:pt>
              </c:strCache>
            </c:strRef>
          </c:tx>
          <c:spPr>
            <a:noFill/>
            <a:ln w="19050" cap="rnd">
              <a:solidFill>
                <a:srgbClr val="9E480E"/>
              </a:solidFill>
              <a:prstDash val="solid"/>
              <a:round/>
            </a:ln>
            <a:effectLst/>
          </c:spPr>
          <c:marker>
            <c:symbol val="none"/>
            <c:size val="4"/>
            <c:spPr>
              <a:noFill/>
              <a:ln w="19050" cap="rnd">
                <a:solidFill>
                  <a:srgbClr val="9E480E"/>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'Tabelle1'!$Q$4:$Q$10</c:f>
              <c:numCache>
                <c:ptCount val="7"/>
                <c:pt idx="0">
                  <c:v>1.100000</c:v>
                </c:pt>
                <c:pt idx="1">
                  <c:v>0.908486</c:v>
                </c:pt>
                <c:pt idx="2">
                  <c:v>0.619684</c:v>
                </c:pt>
                <c:pt idx="3">
                  <c:v>0.288319</c:v>
                </c:pt>
                <c:pt idx="4">
                  <c:v>0.110790</c:v>
                </c:pt>
                <c:pt idx="5">
                  <c:v>0.016359</c:v>
                </c:pt>
                <c:pt idx="6">
                  <c:v>0.000357</c:v>
                </c:pt>
              </c:numCache>
            </c:numRef>
          </c:xVal>
          <c:yVal>
            <c:numRef>
              <c:f>'Tabelle1'!$O$4:$O$10</c:f>
              <c:numCache>
                <c:ptCount val="5"/>
                <c:pt idx="0">
                  <c:v>550.000000</c:v>
                </c:pt>
                <c:pt idx="1">
                  <c:v>375.157997</c:v>
                </c:pt>
                <c:pt idx="2">
                  <c:v>174.548952</c:v>
                </c:pt>
                <c:pt idx="3">
                  <c:v>37.785339</c:v>
                </c:pt>
                <c:pt idx="4">
                  <c:v>5.579315</c:v>
                </c:pt>
              </c:numCache>
            </c:numRef>
          </c:yVal>
          <c:smooth val="1"/>
        </c:ser>
        <c:ser>
          <c:idx val="8"/>
          <c:order val="8"/>
          <c:tx>
            <c:strRef>
              <c:f>'Tabelle1'!$L$15</c:f>
              <c:strCache>
                <c:ptCount val="1"/>
                <c:pt idx="0">
                  <c:v>FSP 7,62</c:v>
                </c:pt>
              </c:strCache>
            </c:strRef>
          </c:tx>
          <c:spPr>
            <a:noFill/>
            <a:ln w="19050" cap="rnd">
              <a:solidFill>
                <a:srgbClr val="636363"/>
              </a:solidFill>
              <a:prstDash val="solid"/>
              <a:round/>
            </a:ln>
            <a:effectLst/>
          </c:spPr>
          <c:marker>
            <c:symbol val="none"/>
            <c:size val="4"/>
            <c:spPr>
              <a:noFill/>
              <a:ln w="19050" cap="rnd">
                <a:solidFill>
                  <a:srgbClr val="636363"/>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'Tabelle1'!$Q$16:$Q$22</c:f>
              <c:numCache>
                <c:ptCount val="7"/>
                <c:pt idx="0">
                  <c:v>2.840000</c:v>
                </c:pt>
                <c:pt idx="1">
                  <c:v>2.452353</c:v>
                </c:pt>
                <c:pt idx="2">
                  <c:v>2.117618</c:v>
                </c:pt>
                <c:pt idx="3">
                  <c:v>1.578981</c:v>
                </c:pt>
                <c:pt idx="4">
                  <c:v>1.363457</c:v>
                </c:pt>
                <c:pt idx="5">
                  <c:v>0.654583</c:v>
                </c:pt>
                <c:pt idx="6">
                  <c:v>0.150873</c:v>
                </c:pt>
              </c:numCache>
            </c:numRef>
          </c:xVal>
          <c:yVal>
            <c:numRef>
              <c:f>'Tabelle1'!$O$16:$O$22</c:f>
              <c:numCache>
                <c:ptCount val="7"/>
                <c:pt idx="0">
                  <c:v>1420.000000</c:v>
                </c:pt>
                <c:pt idx="1">
                  <c:v>1058.809039</c:v>
                </c:pt>
                <c:pt idx="2">
                  <c:v>789.490550</c:v>
                </c:pt>
                <c:pt idx="3">
                  <c:v>438.940372</c:v>
                </c:pt>
                <c:pt idx="4">
                  <c:v>327.291573</c:v>
                </c:pt>
                <c:pt idx="5">
                  <c:v>75.436460</c:v>
                </c:pt>
                <c:pt idx="6">
                  <c:v>4.007507</c:v>
                </c:pt>
              </c:numCache>
            </c:numRef>
          </c:yVal>
          <c:smooth val="1"/>
        </c:ser>
        <c:ser>
          <c:idx val="9"/>
          <c:order val="9"/>
          <c:tx>
            <c:strRef>
              <c:f>'Tabelle1'!$L$27</c:f>
              <c:strCache>
                <c:ptCount val="1"/>
                <c:pt idx="0">
                  <c:v>FSP 12,7</c:v>
                </c:pt>
              </c:strCache>
            </c:strRef>
          </c:tx>
          <c:spPr>
            <a:noFill/>
            <a:ln w="19050" cap="rnd">
              <a:solidFill>
                <a:srgbClr val="997300"/>
              </a:solidFill>
              <a:prstDash val="solid"/>
              <a:round/>
            </a:ln>
            <a:effectLst/>
          </c:spPr>
          <c:marker>
            <c:symbol val="none"/>
            <c:size val="4"/>
            <c:spPr>
              <a:noFill/>
              <a:ln w="19050" cap="rnd">
                <a:solidFill>
                  <a:srgbClr val="997300"/>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'Tabelle1'!$Q$28:$Q$34</c:f>
              <c:numCache>
                <c:ptCount val="7"/>
                <c:pt idx="0">
                  <c:v>13.390000</c:v>
                </c:pt>
                <c:pt idx="1">
                  <c:v>12.275302</c:v>
                </c:pt>
                <c:pt idx="2">
                  <c:v>11.253401</c:v>
                </c:pt>
                <c:pt idx="3">
                  <c:v>9.457732</c:v>
                </c:pt>
                <c:pt idx="4">
                  <c:v>8.670390</c:v>
                </c:pt>
                <c:pt idx="5">
                  <c:v>5.614314</c:v>
                </c:pt>
                <c:pt idx="6">
                  <c:v>2.354034</c:v>
                </c:pt>
              </c:numCache>
            </c:numRef>
          </c:xVal>
          <c:yVal>
            <c:numRef>
              <c:f>'Tabelle1'!$O$28:$O$34</c:f>
              <c:numCache>
                <c:ptCount val="7"/>
                <c:pt idx="0">
                  <c:v>6695.000000</c:v>
                </c:pt>
                <c:pt idx="1">
                  <c:v>5626.700584</c:v>
                </c:pt>
                <c:pt idx="2">
                  <c:v>4728.866238</c:v>
                </c:pt>
                <c:pt idx="3">
                  <c:v>3340.130828</c:v>
                </c:pt>
                <c:pt idx="4">
                  <c:v>2807.156995</c:v>
                </c:pt>
                <c:pt idx="5">
                  <c:v>1177.017236</c:v>
                </c:pt>
                <c:pt idx="6">
                  <c:v>206.926000</c:v>
                </c:pt>
              </c:numCache>
            </c:numRef>
          </c:yVal>
          <c:smooth val="1"/>
        </c:ser>
        <c:ser>
          <c:idx val="10"/>
          <c:order val="10"/>
          <c:tx>
            <c:strRef>
              <c:f>'Tabelle1'!$L$39</c:f>
              <c:strCache>
                <c:ptCount val="1"/>
                <c:pt idx="0">
                  <c:v>FSP 20</c:v>
                </c:pt>
              </c:strCache>
            </c:strRef>
          </c:tx>
          <c:spPr>
            <a:noFill/>
            <a:ln w="19050" cap="rnd">
              <a:solidFill>
                <a:srgbClr val="264478"/>
              </a:solidFill>
              <a:prstDash val="solid"/>
              <a:round/>
            </a:ln>
            <a:effectLst/>
          </c:spPr>
          <c:marker>
            <c:symbol val="none"/>
            <c:size val="4"/>
            <c:spPr>
              <a:noFill/>
              <a:ln w="19050" cap="rnd">
                <a:solidFill>
                  <a:srgbClr val="264478"/>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'Tabelle1'!$Q$40:$Q$46</c:f>
              <c:numCache>
                <c:ptCount val="7"/>
                <c:pt idx="0">
                  <c:v>52.730000</c:v>
                </c:pt>
                <c:pt idx="1">
                  <c:v>46.619733</c:v>
                </c:pt>
                <c:pt idx="2">
                  <c:v>41.217514</c:v>
                </c:pt>
                <c:pt idx="3">
                  <c:v>32.218536</c:v>
                </c:pt>
                <c:pt idx="4">
                  <c:v>28.485105</c:v>
                </c:pt>
                <c:pt idx="5">
                  <c:v>15.387847</c:v>
                </c:pt>
                <c:pt idx="6">
                  <c:v>4.490534</c:v>
                </c:pt>
              </c:numCache>
            </c:numRef>
          </c:xVal>
          <c:yVal>
            <c:numRef>
              <c:f>'Tabelle1'!$O$40:$O$46</c:f>
              <c:numCache>
                <c:ptCount val="7"/>
                <c:pt idx="0">
                  <c:v>26365.000000</c:v>
                </c:pt>
                <c:pt idx="1">
                  <c:v>20608.756811</c:v>
                </c:pt>
                <c:pt idx="2">
                  <c:v>16109.268246</c:v>
                </c:pt>
                <c:pt idx="3">
                  <c:v>9842.917634</c:v>
                </c:pt>
                <c:pt idx="4">
                  <c:v>7693.923605</c:v>
                </c:pt>
                <c:pt idx="5">
                  <c:v>2245.266847</c:v>
                </c:pt>
                <c:pt idx="6">
                  <c:v>191.208922</c:v>
                </c:pt>
              </c:numCache>
            </c:numRef>
          </c:yVal>
          <c:smooth val="1"/>
        </c:ser>
        <c:ser>
          <c:idx val="11"/>
          <c:order val="11"/>
          <c:tx>
            <c:strRef>
              <c:f>'Tabelle1'!$A$60</c:f>
              <c:strCache>
                <c:ptCount val="1"/>
                <c:pt idx="0">
                  <c:v>12,7 x 99 mm</c:v>
                </c:pt>
              </c:strCache>
            </c:strRef>
          </c:tx>
          <c:spPr>
            <a:noFill/>
            <a:ln w="19050" cap="rnd">
              <a:solidFill>
                <a:srgbClr val="43682B"/>
              </a:solidFill>
              <a:prstDash val="solid"/>
              <a:round/>
            </a:ln>
            <a:effectLst/>
          </c:spPr>
          <c:marker>
            <c:symbol val="none"/>
            <c:size val="4"/>
            <c:spPr>
              <a:noFill/>
              <a:ln w="19050" cap="rnd">
                <a:solidFill>
                  <a:srgbClr val="43682B"/>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'Tabelle1'!$E$61:$E$69</c:f>
              <c:numCache>
                <c:ptCount val="9"/>
                <c:pt idx="0">
                  <c:v>748.000000</c:v>
                </c:pt>
                <c:pt idx="1">
                  <c:v>677.918531</c:v>
                </c:pt>
                <c:pt idx="2">
                  <c:v>603.437665</c:v>
                </c:pt>
                <c:pt idx="3">
                  <c:v>537.139787</c:v>
                </c:pt>
                <c:pt idx="4">
                  <c:v>478.125857</c:v>
                </c:pt>
                <c:pt idx="5">
                  <c:v>300.166254</c:v>
                </c:pt>
                <c:pt idx="6">
                  <c:v>188.443647</c:v>
                </c:pt>
                <c:pt idx="7">
                  <c:v>118.304464</c:v>
                </c:pt>
                <c:pt idx="8">
                  <c:v>74.271256</c:v>
                </c:pt>
              </c:numCache>
            </c:numRef>
          </c:xVal>
          <c:yVal>
            <c:numRef>
              <c:f>'Tabelle1'!$D$61:$D$69</c:f>
              <c:numCache>
                <c:ptCount val="9"/>
                <c:pt idx="0">
                  <c:v>17000.000000</c:v>
                </c:pt>
                <c:pt idx="1">
                  <c:v>15407.239339</c:v>
                </c:pt>
                <c:pt idx="2">
                  <c:v>13714.492382</c:v>
                </c:pt>
                <c:pt idx="3">
                  <c:v>12207.722432</c:v>
                </c:pt>
                <c:pt idx="4">
                  <c:v>10866.496756</c:v>
                </c:pt>
                <c:pt idx="5">
                  <c:v>6821.960318</c:v>
                </c:pt>
                <c:pt idx="6">
                  <c:v>4282.810148</c:v>
                </c:pt>
                <c:pt idx="7">
                  <c:v>2688.737827</c:v>
                </c:pt>
                <c:pt idx="8">
                  <c:v>1687.983089</c:v>
                </c:pt>
              </c:numCache>
            </c:numRef>
          </c:yVal>
          <c:smooth val="1"/>
        </c:ser>
        <c:ser>
          <c:idx val="12"/>
          <c:order val="12"/>
          <c:tx>
            <c:strRef>
              <c:f>'Tabelle1'!$A$73</c:f>
              <c:strCache>
                <c:ptCount val="1"/>
                <c:pt idx="0">
                  <c:v>12,7x108</c:v>
                </c:pt>
              </c:strCache>
            </c:strRef>
          </c:tx>
          <c:spPr>
            <a:noFill/>
            <a:ln w="19050" cap="rnd">
              <a:solidFill>
                <a:srgbClr val="7CAFDD"/>
              </a:solidFill>
              <a:prstDash val="solid"/>
              <a:round/>
            </a:ln>
            <a:effectLst/>
          </c:spPr>
          <c:marker>
            <c:symbol val="none"/>
            <c:size val="4"/>
            <c:spPr>
              <a:noFill/>
              <a:ln w="19050" cap="rnd">
                <a:solidFill>
                  <a:srgbClr val="7CAFDD"/>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'Tabelle1'!$E$73:$E$81</c:f>
              <c:numCache>
                <c:ptCount val="9"/>
                <c:pt idx="0">
                  <c:v>772.800000</c:v>
                </c:pt>
                <c:pt idx="1">
                  <c:v>705.264000</c:v>
                </c:pt>
                <c:pt idx="2">
                  <c:v>635.040000</c:v>
                </c:pt>
                <c:pt idx="3">
                  <c:v>572.880000</c:v>
                </c:pt>
                <c:pt idx="4">
                  <c:v>531.408000</c:v>
                </c:pt>
                <c:pt idx="5">
                  <c:v>328.080000</c:v>
                </c:pt>
                <c:pt idx="6">
                  <c:v>200.592000</c:v>
                </c:pt>
                <c:pt idx="7">
                  <c:v>124.704000</c:v>
                </c:pt>
                <c:pt idx="8">
                  <c:v>95.472000</c:v>
                </c:pt>
              </c:numCache>
            </c:numRef>
          </c:xVal>
          <c:yVal>
            <c:numRef>
              <c:f>'Tabelle1'!$D$73:$D$81</c:f>
              <c:numCache>
                <c:ptCount val="9"/>
                <c:pt idx="0">
                  <c:v>16100.000000</c:v>
                </c:pt>
                <c:pt idx="1">
                  <c:v>14693.000000</c:v>
                </c:pt>
                <c:pt idx="2">
                  <c:v>13230.000000</c:v>
                </c:pt>
                <c:pt idx="3">
                  <c:v>11935.000000</c:v>
                </c:pt>
                <c:pt idx="4">
                  <c:v>11071.000000</c:v>
                </c:pt>
                <c:pt idx="5">
                  <c:v>6835.000000</c:v>
                </c:pt>
                <c:pt idx="6">
                  <c:v>4179.000000</c:v>
                </c:pt>
                <c:pt idx="7">
                  <c:v>2598.000000</c:v>
                </c:pt>
                <c:pt idx="8">
                  <c:v>1989.000000</c:v>
                </c:pt>
              </c:numCache>
            </c:numRef>
          </c:yVal>
          <c:smooth val="1"/>
        </c:ser>
        <c:axId val="2094734552"/>
        <c:axId val="2094734553"/>
      </c:scatterChart>
      <c:valAx>
        <c:axId val="2094734552"/>
        <c:scaling>
          <c:orientation val="minMax"/>
          <c:max val="100"/>
        </c:scaling>
        <c:delete val="0"/>
        <c:axPos val="b"/>
        <c:title>
          <c:tx>
            <c:rich>
              <a:bodyPr rot="0"/>
              <a:lstStyle/>
              <a:p>
                <a:pPr>
                  <a:defRPr b="0" i="0" strike="noStrike" sz="1000" u="none">
                    <a:solidFill>
                      <a:srgbClr val="595959"/>
                    </a:solidFill>
                    <a:latin typeface="Calibri"/>
                  </a:defRPr>
                </a:pPr>
                <a:r>
                  <a:rPr b="0" i="0" strike="noStrike" sz="1000" u="none">
                    <a:solidFill>
                      <a:srgbClr val="595959"/>
                    </a:solidFill>
                    <a:latin typeface="Calibri"/>
                  </a:rPr>
                  <a:t>P</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3"/>
        <c:crosses val="autoZero"/>
        <c:crossBetween val="between"/>
        <c:majorUnit val="25"/>
        <c:minorUnit val="12.5"/>
      </c:valAx>
      <c:valAx>
        <c:axId val="2094734553"/>
        <c:scaling>
          <c:orientation val="minMax"/>
        </c:scaling>
        <c:delete val="0"/>
        <c:axPos val="l"/>
        <c:majorGridlines>
          <c:spPr>
            <a:ln w="12700" cap="flat">
              <a:solidFill>
                <a:srgbClr val="D9D9D9"/>
              </a:solidFill>
              <a:prstDash val="solid"/>
              <a:round/>
            </a:ln>
          </c:spPr>
        </c:majorGridlines>
        <c:title>
          <c:tx>
            <c:rich>
              <a:bodyPr rot="-5400000"/>
              <a:lstStyle/>
              <a:p>
                <a:pPr>
                  <a:defRPr b="0" i="0" strike="noStrike" sz="1000" u="none">
                    <a:solidFill>
                      <a:srgbClr val="595959"/>
                    </a:solidFill>
                    <a:latin typeface="Calibri"/>
                  </a:defRPr>
                </a:pPr>
                <a:r>
                  <a:rPr b="0" i="0" strike="noStrike" sz="1000" u="none">
                    <a:solidFill>
                      <a:srgbClr val="595959"/>
                    </a:solidFill>
                    <a:latin typeface="Calibri"/>
                  </a:rPr>
                  <a:t>E</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7500"/>
        <c:minorUnit val="3750"/>
      </c:valAx>
      <c:spPr>
        <a:noFill/>
        <a:ln w="12700" cap="flat">
          <a:noFill/>
          <a:miter lim="400000"/>
        </a:ln>
        <a:effectLst/>
      </c:spPr>
    </c:plotArea>
    <c:legend>
      <c:legendPos val="r"/>
      <c:layout>
        <c:manualLayout>
          <c:xMode val="edge"/>
          <c:yMode val="edge"/>
          <c:x val="0.845093"/>
          <c:y val="0.270414"/>
          <c:w val="0.154907"/>
          <c:h val="0.37821"/>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5.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512326"/>
          <c:y val="0.014393"/>
          <c:w val="0.745814"/>
          <c:h val="0.929493"/>
        </c:manualLayout>
      </c:layout>
      <c:scatterChart>
        <c:scatterStyle val="smoothMarker"/>
        <c:varyColors val="0"/>
        <c:ser>
          <c:idx val="0"/>
          <c:order val="0"/>
          <c:tx>
            <c:strRef>
              <c:f>'Tabelle1'!$A$2</c:f>
              <c:strCache>
                <c:ptCount val="1"/>
                <c:pt idx="0">
                  <c:v>9x19mm</c:v>
                </c:pt>
              </c:strCache>
            </c:strRef>
          </c:tx>
          <c:spPr>
            <a:noFill/>
            <a:ln w="19050" cap="rnd">
              <a:solidFill>
                <a:schemeClr val="accent1"/>
              </a:solidFill>
              <a:prstDash val="solid"/>
              <a:round/>
            </a:ln>
            <a:effectLst/>
          </c:spPr>
          <c:marker>
            <c:symbol val="none"/>
            <c:size val="4"/>
            <c:spPr>
              <a:noFill/>
              <a:ln w="19050" cap="rnd">
                <a:solidFill>
                  <a:schemeClr val="accent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'Tabelle1'!$E$2:$E$5</c:f>
              <c:numCache>
                <c:ptCount val="4"/>
                <c:pt idx="0">
                  <c:v>4.343350</c:v>
                </c:pt>
                <c:pt idx="1">
                  <c:v>4.209250</c:v>
                </c:pt>
                <c:pt idx="2">
                  <c:v>4.060250</c:v>
                </c:pt>
                <c:pt idx="3">
                  <c:v>3.769700</c:v>
                </c:pt>
              </c:numCache>
            </c:numRef>
          </c:xVal>
          <c:yVal>
            <c:numRef>
              <c:f>'Tabelle1'!$D$2:$D$5</c:f>
              <c:numCache>
                <c:ptCount val="4"/>
                <c:pt idx="0">
                  <c:v>583.000000</c:v>
                </c:pt>
                <c:pt idx="1">
                  <c:v>565.000000</c:v>
                </c:pt>
                <c:pt idx="2">
                  <c:v>545.000000</c:v>
                </c:pt>
                <c:pt idx="3">
                  <c:v>506.000000</c:v>
                </c:pt>
              </c:numCache>
            </c:numRef>
          </c:yVal>
          <c:smooth val="1"/>
        </c:ser>
        <c:ser>
          <c:idx val="1"/>
          <c:order val="1"/>
          <c:tx>
            <c:strRef>
              <c:f>'Tabelle1'!$A$7</c:f>
              <c:strCache/>
            </c:strRef>
          </c:tx>
          <c:spPr>
            <a:noFill/>
            <a:ln w="19050" cap="rnd">
              <a:solidFill>
                <a:schemeClr val="accent2"/>
              </a:solidFill>
              <a:prstDash val="solid"/>
              <a:round/>
            </a:ln>
            <a:effectLst/>
          </c:spPr>
          <c:marker>
            <c:symbol val="none"/>
            <c:size val="4"/>
            <c:spPr>
              <a:noFill/>
              <a:ln w="19050" cap="rnd">
                <a:solidFill>
                  <a:schemeClr val="accent2"/>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'Tabelle1'!$E$8:$E$12</c:f>
              <c:numCache>
                <c:ptCount val="5"/>
                <c:pt idx="0">
                  <c:v>5.532300</c:v>
                </c:pt>
                <c:pt idx="1">
                  <c:v>4.876200</c:v>
                </c:pt>
                <c:pt idx="2">
                  <c:v>4.317300</c:v>
                </c:pt>
                <c:pt idx="3">
                  <c:v>3.871800</c:v>
                </c:pt>
                <c:pt idx="4">
                  <c:v>3.547800</c:v>
                </c:pt>
              </c:numCache>
            </c:numRef>
          </c:xVal>
          <c:yVal>
            <c:numRef>
              <c:f>'Tabelle1'!$D$8:$D$12</c:f>
              <c:numCache>
                <c:ptCount val="5"/>
                <c:pt idx="0">
                  <c:v>683.000000</c:v>
                </c:pt>
                <c:pt idx="1">
                  <c:v>602.000000</c:v>
                </c:pt>
                <c:pt idx="2">
                  <c:v>533.000000</c:v>
                </c:pt>
                <c:pt idx="3">
                  <c:v>478.000000</c:v>
                </c:pt>
                <c:pt idx="4">
                  <c:v>438.000000</c:v>
                </c:pt>
              </c:numCache>
            </c:numRef>
          </c:yVal>
          <c:smooth val="1"/>
        </c:ser>
        <c:ser>
          <c:idx val="2"/>
          <c:order val="2"/>
          <c:tx>
            <c:strRef>
              <c:f>'Tabelle1'!$A$14</c:f>
              <c:strCache>
                <c:ptCount val="1"/>
                <c:pt idx="0">
                  <c:v>,357 Magnum</c:v>
                </c:pt>
              </c:strCache>
            </c:strRef>
          </c:tx>
          <c:spPr>
            <a:noFill/>
            <a:ln w="19050" cap="rnd">
              <a:solidFill>
                <a:schemeClr val="accent3"/>
              </a:solidFill>
              <a:prstDash val="solid"/>
              <a:round/>
            </a:ln>
            <a:effectLst/>
          </c:spPr>
          <c:marker>
            <c:symbol val="none"/>
            <c:size val="4"/>
            <c:spPr>
              <a:noFill/>
              <a:ln w="19050" cap="rnd">
                <a:solidFill>
                  <a:schemeClr val="accent3"/>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'Tabelle1'!$E$14:$E$17</c:f>
              <c:numCache>
                <c:ptCount val="4"/>
                <c:pt idx="0">
                  <c:v>10.342530</c:v>
                </c:pt>
                <c:pt idx="1">
                  <c:v>9.882180</c:v>
                </c:pt>
                <c:pt idx="2">
                  <c:v>9.207000</c:v>
                </c:pt>
                <c:pt idx="3">
                  <c:v>5.074080</c:v>
                </c:pt>
              </c:numCache>
            </c:numRef>
          </c:xVal>
          <c:yVal>
            <c:numRef>
              <c:f>'Tabelle1'!$D$14:$D$17</c:f>
              <c:numCache>
                <c:ptCount val="4"/>
                <c:pt idx="0">
                  <c:v>1011.000000</c:v>
                </c:pt>
                <c:pt idx="1">
                  <c:v>966.000000</c:v>
                </c:pt>
                <c:pt idx="2">
                  <c:v>900.000000</c:v>
                </c:pt>
                <c:pt idx="3">
                  <c:v>496.000000</c:v>
                </c:pt>
              </c:numCache>
            </c:numRef>
          </c:yVal>
          <c:smooth val="1"/>
        </c:ser>
        <c:ser>
          <c:idx val="3"/>
          <c:order val="3"/>
          <c:tx>
            <c:strRef>
              <c:f>'Tabelle1'!$A$19</c:f>
              <c:strCache>
                <c:ptCount val="1"/>
                <c:pt idx="0">
                  <c:v>5,56 x39 7N6 MSC</c:v>
                </c:pt>
              </c:strCache>
            </c:strRef>
          </c:tx>
          <c:spPr>
            <a:noFill/>
            <a:ln w="19050" cap="rnd">
              <a:solidFill>
                <a:schemeClr val="accent4"/>
              </a:solidFill>
              <a:prstDash val="solid"/>
              <a:round/>
            </a:ln>
            <a:effectLst/>
          </c:spPr>
          <c:marker>
            <c:symbol val="none"/>
            <c:size val="4"/>
            <c:spPr>
              <a:noFill/>
              <a:ln w="19050" cap="rnd">
                <a:solidFill>
                  <a:schemeClr val="accent4"/>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'Tabelle1'!$E$19:$E$24</c:f>
              <c:numCache>
                <c:ptCount val="6"/>
                <c:pt idx="0">
                  <c:v>4.817800</c:v>
                </c:pt>
                <c:pt idx="1">
                  <c:v>3.757000</c:v>
                </c:pt>
                <c:pt idx="2">
                  <c:v>2.968200</c:v>
                </c:pt>
                <c:pt idx="3">
                  <c:v>2.301800</c:v>
                </c:pt>
                <c:pt idx="4">
                  <c:v>1.764600</c:v>
                </c:pt>
                <c:pt idx="5">
                  <c:v>1.305600</c:v>
                </c:pt>
              </c:numCache>
            </c:numRef>
          </c:xVal>
          <c:yVal>
            <c:numRef>
              <c:f>'Tabelle1'!$D$19:$D$24</c:f>
              <c:numCache>
                <c:ptCount val="6"/>
                <c:pt idx="0">
                  <c:v>1417.000000</c:v>
                </c:pt>
                <c:pt idx="1">
                  <c:v>1105.000000</c:v>
                </c:pt>
                <c:pt idx="2">
                  <c:v>873.000000</c:v>
                </c:pt>
                <c:pt idx="3">
                  <c:v>677.000000</c:v>
                </c:pt>
                <c:pt idx="4">
                  <c:v>519.000000</c:v>
                </c:pt>
                <c:pt idx="5">
                  <c:v>384.000000</c:v>
                </c:pt>
              </c:numCache>
            </c:numRef>
          </c:yVal>
          <c:smooth val="1"/>
        </c:ser>
        <c:ser>
          <c:idx val="4"/>
          <c:order val="4"/>
          <c:tx>
            <c:strRef>
              <c:f>'Tabelle1'!$A$26</c:f>
              <c:strCache>
                <c:ptCount val="1"/>
                <c:pt idx="0">
                  <c:v>5,56 x 45nn SS109</c:v>
                </c:pt>
              </c:strCache>
            </c:strRef>
          </c:tx>
          <c:spPr>
            <a:noFill/>
            <a:ln w="19050" cap="rnd">
              <a:solidFill>
                <a:schemeClr val="accent5"/>
              </a:solidFill>
              <a:prstDash val="solid"/>
              <a:round/>
            </a:ln>
            <a:effectLst/>
          </c:spPr>
          <c:marker>
            <c:symbol val="none"/>
            <c:size val="4"/>
            <c:spPr>
              <a:noFill/>
              <a:ln w="19050" cap="rnd">
                <a:solidFill>
                  <a:schemeClr val="accent5"/>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'Tabelle1'!$E$26:$E$31</c:f>
              <c:numCache>
                <c:ptCount val="6"/>
                <c:pt idx="0">
                  <c:v>6.832000</c:v>
                </c:pt>
                <c:pt idx="1">
                  <c:v>5.468000</c:v>
                </c:pt>
                <c:pt idx="2">
                  <c:v>4.324000</c:v>
                </c:pt>
                <c:pt idx="3">
                  <c:v>3.336000</c:v>
                </c:pt>
                <c:pt idx="4">
                  <c:v>2.600000</c:v>
                </c:pt>
                <c:pt idx="5">
                  <c:v>1.976000</c:v>
                </c:pt>
              </c:numCache>
            </c:numRef>
          </c:xVal>
          <c:yVal>
            <c:numRef>
              <c:f>'Tabelle1'!$D$26:$D$31</c:f>
              <c:numCache>
                <c:ptCount val="6"/>
                <c:pt idx="0">
                  <c:v>1708.000000</c:v>
                </c:pt>
                <c:pt idx="1">
                  <c:v>1367.000000</c:v>
                </c:pt>
                <c:pt idx="2">
                  <c:v>1081.000000</c:v>
                </c:pt>
                <c:pt idx="3">
                  <c:v>834.000000</c:v>
                </c:pt>
                <c:pt idx="4">
                  <c:v>650.000000</c:v>
                </c:pt>
                <c:pt idx="5">
                  <c:v>494.000000</c:v>
                </c:pt>
              </c:numCache>
            </c:numRef>
          </c:yVal>
          <c:smooth val="1"/>
        </c:ser>
        <c:ser>
          <c:idx val="5"/>
          <c:order val="5"/>
          <c:tx>
            <c:strRef>
              <c:f>'Tabelle1'!$A$40</c:f>
              <c:strCache>
                <c:ptCount val="1"/>
                <c:pt idx="0">
                  <c:v>7,62 x 51 M80</c:v>
                </c:pt>
              </c:strCache>
            </c:strRef>
          </c:tx>
          <c:spPr>
            <a:noFill/>
            <a:ln w="19050" cap="rnd">
              <a:solidFill>
                <a:schemeClr val="accent6"/>
              </a:solidFill>
              <a:prstDash val="solid"/>
              <a:round/>
            </a:ln>
            <a:effectLst/>
          </c:spPr>
          <c:marker>
            <c:symbol val="none"/>
            <c:size val="4"/>
            <c:spPr>
              <a:noFill/>
              <a:ln w="19050" cap="rnd">
                <a:solidFill>
                  <a:schemeClr val="accent6"/>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'Tabelle1'!$E$40:$E$45</c:f>
              <c:numCache>
                <c:ptCount val="6"/>
                <c:pt idx="0">
                  <c:v>33.430500</c:v>
                </c:pt>
                <c:pt idx="1">
                  <c:v>27.740000</c:v>
                </c:pt>
                <c:pt idx="2">
                  <c:v>23.037500</c:v>
                </c:pt>
                <c:pt idx="3">
                  <c:v>18.886000</c:v>
                </c:pt>
                <c:pt idx="4">
                  <c:v>15.314000</c:v>
                </c:pt>
                <c:pt idx="5">
                  <c:v>12.302500</c:v>
                </c:pt>
              </c:numCache>
            </c:numRef>
          </c:xVal>
          <c:yVal>
            <c:numRef>
              <c:f>'Tabelle1'!$D$40:$D$45</c:f>
              <c:numCache>
                <c:ptCount val="6"/>
                <c:pt idx="0">
                  <c:v>3519.000000</c:v>
                </c:pt>
                <c:pt idx="1">
                  <c:v>2920.000000</c:v>
                </c:pt>
                <c:pt idx="2">
                  <c:v>2425.000000</c:v>
                </c:pt>
                <c:pt idx="3">
                  <c:v>1988.000000</c:v>
                </c:pt>
                <c:pt idx="4">
                  <c:v>1612.000000</c:v>
                </c:pt>
                <c:pt idx="5">
                  <c:v>1295.000000</c:v>
                </c:pt>
              </c:numCache>
            </c:numRef>
          </c:yVal>
          <c:smooth val="1"/>
        </c:ser>
        <c:ser>
          <c:idx val="6"/>
          <c:order val="6"/>
          <c:tx>
            <c:strRef>
              <c:f>'Tabelle1'!$A$47</c:f>
              <c:strCache>
                <c:ptCount val="1"/>
                <c:pt idx="0">
                  <c:v>,338 lapua</c:v>
                </c:pt>
              </c:strCache>
            </c:strRef>
          </c:tx>
          <c:spPr>
            <a:noFill/>
            <a:ln w="19050" cap="rnd">
              <a:solidFill>
                <a:srgbClr val="255E91"/>
              </a:solidFill>
              <a:prstDash val="solid"/>
              <a:round/>
            </a:ln>
            <a:effectLst/>
          </c:spPr>
          <c:marker>
            <c:symbol val="none"/>
            <c:size val="4"/>
            <c:spPr>
              <a:noFill/>
              <a:ln w="19050" cap="rnd">
                <a:solidFill>
                  <a:srgbClr val="255E91"/>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'Tabelle1'!$E$47:$E$57</c:f>
              <c:numCache>
                <c:ptCount val="11"/>
                <c:pt idx="0">
                  <c:v>109.609200</c:v>
                </c:pt>
                <c:pt idx="1">
                  <c:v>86.151600</c:v>
                </c:pt>
                <c:pt idx="2">
                  <c:v>66.857400</c:v>
                </c:pt>
                <c:pt idx="3">
                  <c:v>51.127200</c:v>
                </c:pt>
                <c:pt idx="4">
                  <c:v>38.475000</c:v>
                </c:pt>
                <c:pt idx="5">
                  <c:v>28.657800</c:v>
                </c:pt>
                <c:pt idx="6">
                  <c:v>21.400200</c:v>
                </c:pt>
                <c:pt idx="7">
                  <c:v>16.443000</c:v>
                </c:pt>
                <c:pt idx="8">
                  <c:v>13.413600</c:v>
                </c:pt>
                <c:pt idx="9">
                  <c:v>11.502000</c:v>
                </c:pt>
                <c:pt idx="10">
                  <c:v>10.141200</c:v>
                </c:pt>
              </c:numCache>
            </c:numRef>
          </c:xVal>
          <c:yVal>
            <c:numRef>
              <c:f>'Tabelle1'!$D$47:$D$57</c:f>
              <c:numCache>
                <c:ptCount val="11"/>
                <c:pt idx="0">
                  <c:v>6766.000000</c:v>
                </c:pt>
                <c:pt idx="1">
                  <c:v>5318.000000</c:v>
                </c:pt>
                <c:pt idx="2">
                  <c:v>4127.000000</c:v>
                </c:pt>
                <c:pt idx="3">
                  <c:v>3156.000000</c:v>
                </c:pt>
                <c:pt idx="4">
                  <c:v>2375.000000</c:v>
                </c:pt>
                <c:pt idx="5">
                  <c:v>1769.000000</c:v>
                </c:pt>
                <c:pt idx="6">
                  <c:v>1321.000000</c:v>
                </c:pt>
                <c:pt idx="7">
                  <c:v>1015.000000</c:v>
                </c:pt>
                <c:pt idx="8">
                  <c:v>828.000000</c:v>
                </c:pt>
                <c:pt idx="9">
                  <c:v>710.000000</c:v>
                </c:pt>
                <c:pt idx="10">
                  <c:v>626.000000</c:v>
                </c:pt>
              </c:numCache>
            </c:numRef>
          </c:yVal>
          <c:smooth val="1"/>
        </c:ser>
        <c:ser>
          <c:idx val="7"/>
          <c:order val="7"/>
          <c:tx>
            <c:strRef>
              <c:f>'Tabelle1'!$L$3</c:f>
              <c:strCache>
                <c:ptCount val="1"/>
                <c:pt idx="0">
                  <c:v>FSP 5,56</c:v>
                </c:pt>
              </c:strCache>
            </c:strRef>
          </c:tx>
          <c:spPr>
            <a:noFill/>
            <a:ln w="19050" cap="rnd">
              <a:solidFill>
                <a:srgbClr val="9E480E"/>
              </a:solidFill>
              <a:prstDash val="solid"/>
              <a:round/>
            </a:ln>
            <a:effectLst/>
          </c:spPr>
          <c:marker>
            <c:symbol val="none"/>
            <c:size val="4"/>
            <c:spPr>
              <a:noFill/>
              <a:ln w="19050" cap="rnd">
                <a:solidFill>
                  <a:srgbClr val="9E480E"/>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'Tabelle1'!$Q$4:$Q$10</c:f>
              <c:numCache>
                <c:ptCount val="7"/>
                <c:pt idx="0">
                  <c:v>1.100000</c:v>
                </c:pt>
                <c:pt idx="1">
                  <c:v>0.908486</c:v>
                </c:pt>
                <c:pt idx="2">
                  <c:v>0.619684</c:v>
                </c:pt>
                <c:pt idx="3">
                  <c:v>0.288319</c:v>
                </c:pt>
                <c:pt idx="4">
                  <c:v>0.110790</c:v>
                </c:pt>
                <c:pt idx="5">
                  <c:v>0.016359</c:v>
                </c:pt>
                <c:pt idx="6">
                  <c:v>0.000357</c:v>
                </c:pt>
              </c:numCache>
            </c:numRef>
          </c:xVal>
          <c:yVal>
            <c:numRef>
              <c:f>'Tabelle1'!$O$4:$O$10</c:f>
              <c:numCache>
                <c:ptCount val="5"/>
                <c:pt idx="0">
                  <c:v>550.000000</c:v>
                </c:pt>
                <c:pt idx="1">
                  <c:v>375.157997</c:v>
                </c:pt>
                <c:pt idx="2">
                  <c:v>174.548952</c:v>
                </c:pt>
                <c:pt idx="3">
                  <c:v>37.785339</c:v>
                </c:pt>
                <c:pt idx="4">
                  <c:v>5.579315</c:v>
                </c:pt>
              </c:numCache>
            </c:numRef>
          </c:yVal>
          <c:smooth val="1"/>
        </c:ser>
        <c:ser>
          <c:idx val="8"/>
          <c:order val="8"/>
          <c:tx>
            <c:strRef>
              <c:f>'Tabelle1'!$L$15</c:f>
              <c:strCache>
                <c:ptCount val="1"/>
                <c:pt idx="0">
                  <c:v>FSP 7,62</c:v>
                </c:pt>
              </c:strCache>
            </c:strRef>
          </c:tx>
          <c:spPr>
            <a:noFill/>
            <a:ln w="19050" cap="rnd">
              <a:solidFill>
                <a:srgbClr val="636363"/>
              </a:solidFill>
              <a:prstDash val="solid"/>
              <a:round/>
            </a:ln>
            <a:effectLst/>
          </c:spPr>
          <c:marker>
            <c:symbol val="none"/>
            <c:size val="4"/>
            <c:spPr>
              <a:noFill/>
              <a:ln w="19050" cap="rnd">
                <a:solidFill>
                  <a:srgbClr val="636363"/>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'Tabelle1'!$Q$16:$Q$22</c:f>
              <c:numCache>
                <c:ptCount val="7"/>
                <c:pt idx="0">
                  <c:v>2.840000</c:v>
                </c:pt>
                <c:pt idx="1">
                  <c:v>2.452353</c:v>
                </c:pt>
                <c:pt idx="2">
                  <c:v>2.117618</c:v>
                </c:pt>
                <c:pt idx="3">
                  <c:v>1.578981</c:v>
                </c:pt>
                <c:pt idx="4">
                  <c:v>1.363457</c:v>
                </c:pt>
                <c:pt idx="5">
                  <c:v>0.654583</c:v>
                </c:pt>
                <c:pt idx="6">
                  <c:v>0.150873</c:v>
                </c:pt>
              </c:numCache>
            </c:numRef>
          </c:xVal>
          <c:yVal>
            <c:numRef>
              <c:f>'Tabelle1'!$O$16:$O$22</c:f>
              <c:numCache>
                <c:ptCount val="7"/>
                <c:pt idx="0">
                  <c:v>1420.000000</c:v>
                </c:pt>
                <c:pt idx="1">
                  <c:v>1058.809039</c:v>
                </c:pt>
                <c:pt idx="2">
                  <c:v>789.490550</c:v>
                </c:pt>
                <c:pt idx="3">
                  <c:v>438.940372</c:v>
                </c:pt>
                <c:pt idx="4">
                  <c:v>327.291573</c:v>
                </c:pt>
                <c:pt idx="5">
                  <c:v>75.436460</c:v>
                </c:pt>
                <c:pt idx="6">
                  <c:v>4.007507</c:v>
                </c:pt>
              </c:numCache>
            </c:numRef>
          </c:yVal>
          <c:smooth val="1"/>
        </c:ser>
        <c:ser>
          <c:idx val="9"/>
          <c:order val="9"/>
          <c:tx>
            <c:strRef>
              <c:f>'Tabelle1'!$L$27</c:f>
              <c:strCache>
                <c:ptCount val="1"/>
                <c:pt idx="0">
                  <c:v>FSP 12,7</c:v>
                </c:pt>
              </c:strCache>
            </c:strRef>
          </c:tx>
          <c:spPr>
            <a:noFill/>
            <a:ln w="19050" cap="rnd">
              <a:solidFill>
                <a:srgbClr val="997300"/>
              </a:solidFill>
              <a:prstDash val="solid"/>
              <a:round/>
            </a:ln>
            <a:effectLst/>
          </c:spPr>
          <c:marker>
            <c:symbol val="none"/>
            <c:size val="4"/>
            <c:spPr>
              <a:noFill/>
              <a:ln w="19050" cap="rnd">
                <a:solidFill>
                  <a:srgbClr val="997300"/>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'Tabelle1'!$Q$28:$Q$34</c:f>
              <c:numCache>
                <c:ptCount val="7"/>
                <c:pt idx="0">
                  <c:v>13.390000</c:v>
                </c:pt>
                <c:pt idx="1">
                  <c:v>12.275302</c:v>
                </c:pt>
                <c:pt idx="2">
                  <c:v>11.253401</c:v>
                </c:pt>
                <c:pt idx="3">
                  <c:v>9.457732</c:v>
                </c:pt>
                <c:pt idx="4">
                  <c:v>8.670390</c:v>
                </c:pt>
                <c:pt idx="5">
                  <c:v>5.614314</c:v>
                </c:pt>
                <c:pt idx="6">
                  <c:v>2.354034</c:v>
                </c:pt>
              </c:numCache>
            </c:numRef>
          </c:xVal>
          <c:yVal>
            <c:numRef>
              <c:f>'Tabelle1'!$O$28:$O$34</c:f>
              <c:numCache>
                <c:ptCount val="7"/>
                <c:pt idx="0">
                  <c:v>6695.000000</c:v>
                </c:pt>
                <c:pt idx="1">
                  <c:v>5626.700584</c:v>
                </c:pt>
                <c:pt idx="2">
                  <c:v>4728.866238</c:v>
                </c:pt>
                <c:pt idx="3">
                  <c:v>3340.130828</c:v>
                </c:pt>
                <c:pt idx="4">
                  <c:v>2807.156995</c:v>
                </c:pt>
                <c:pt idx="5">
                  <c:v>1177.017236</c:v>
                </c:pt>
                <c:pt idx="6">
                  <c:v>206.926000</c:v>
                </c:pt>
              </c:numCache>
            </c:numRef>
          </c:yVal>
          <c:smooth val="1"/>
        </c:ser>
        <c:ser>
          <c:idx val="10"/>
          <c:order val="10"/>
          <c:tx>
            <c:strRef>
              <c:f>'Tabelle1'!$L$39</c:f>
              <c:strCache>
                <c:ptCount val="1"/>
                <c:pt idx="0">
                  <c:v>FSP 20</c:v>
                </c:pt>
              </c:strCache>
            </c:strRef>
          </c:tx>
          <c:spPr>
            <a:noFill/>
            <a:ln w="19050" cap="rnd">
              <a:solidFill>
                <a:srgbClr val="264478"/>
              </a:solidFill>
              <a:prstDash val="solid"/>
              <a:round/>
            </a:ln>
            <a:effectLst/>
          </c:spPr>
          <c:marker>
            <c:symbol val="none"/>
            <c:size val="4"/>
            <c:spPr>
              <a:noFill/>
              <a:ln w="19050" cap="rnd">
                <a:solidFill>
                  <a:srgbClr val="264478"/>
                </a:solidFill>
                <a:prstDash val="solid"/>
                <a:round/>
              </a:ln>
              <a:effectLst/>
            </c:spPr>
          </c:marker>
          <c:dLbls>
            <c:numFmt formatCode="0" sourceLinked="0"/>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'Tabelle1'!$Q$40:$Q$46</c:f>
              <c:numCache>
                <c:ptCount val="7"/>
                <c:pt idx="0">
                  <c:v>52.730000</c:v>
                </c:pt>
                <c:pt idx="1">
                  <c:v>46.619733</c:v>
                </c:pt>
                <c:pt idx="2">
                  <c:v>41.217514</c:v>
                </c:pt>
                <c:pt idx="3">
                  <c:v>32.218536</c:v>
                </c:pt>
                <c:pt idx="4">
                  <c:v>28.485105</c:v>
                </c:pt>
                <c:pt idx="5">
                  <c:v>15.387847</c:v>
                </c:pt>
                <c:pt idx="6">
                  <c:v>4.490534</c:v>
                </c:pt>
              </c:numCache>
            </c:numRef>
          </c:xVal>
          <c:yVal>
            <c:numRef>
              <c:f>'Tabelle1'!$O$40:$O$46</c:f>
              <c:numCache>
                <c:ptCount val="7"/>
                <c:pt idx="0">
                  <c:v>26365.000000</c:v>
                </c:pt>
                <c:pt idx="1">
                  <c:v>20608.756811</c:v>
                </c:pt>
                <c:pt idx="2">
                  <c:v>16109.268246</c:v>
                </c:pt>
                <c:pt idx="3">
                  <c:v>9842.917634</c:v>
                </c:pt>
                <c:pt idx="4">
                  <c:v>7693.923605</c:v>
                </c:pt>
                <c:pt idx="5">
                  <c:v>2245.266847</c:v>
                </c:pt>
                <c:pt idx="6">
                  <c:v>191.208922</c:v>
                </c:pt>
              </c:numCache>
            </c:numRef>
          </c:yVal>
          <c:smooth val="1"/>
        </c:ser>
        <c:ser>
          <c:idx val="11"/>
          <c:order val="11"/>
          <c:tx>
            <c:strRef>
              <c:f>'Tabelle1'!$A$60</c:f>
              <c:strCache>
                <c:ptCount val="1"/>
                <c:pt idx="0">
                  <c:v>12,7 x 99 mm</c:v>
                </c:pt>
              </c:strCache>
            </c:strRef>
          </c:tx>
          <c:spPr>
            <a:noFill/>
            <a:ln w="19050" cap="rnd">
              <a:solidFill>
                <a:srgbClr val="43682B"/>
              </a:solidFill>
              <a:prstDash val="solid"/>
              <a:round/>
            </a:ln>
            <a:effectLst/>
          </c:spPr>
          <c:marker>
            <c:symbol val="none"/>
            <c:size val="4"/>
            <c:spPr>
              <a:noFill/>
              <a:ln w="19050" cap="rnd">
                <a:solidFill>
                  <a:srgbClr val="43682B"/>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'Tabelle1'!$E$61:$E$69</c:f>
              <c:numCache>
                <c:ptCount val="9"/>
                <c:pt idx="0">
                  <c:v>748.000000</c:v>
                </c:pt>
                <c:pt idx="1">
                  <c:v>677.918531</c:v>
                </c:pt>
                <c:pt idx="2">
                  <c:v>603.437665</c:v>
                </c:pt>
                <c:pt idx="3">
                  <c:v>537.139787</c:v>
                </c:pt>
                <c:pt idx="4">
                  <c:v>478.125857</c:v>
                </c:pt>
                <c:pt idx="5">
                  <c:v>300.166254</c:v>
                </c:pt>
                <c:pt idx="6">
                  <c:v>188.443647</c:v>
                </c:pt>
                <c:pt idx="7">
                  <c:v>118.304464</c:v>
                </c:pt>
                <c:pt idx="8">
                  <c:v>74.271256</c:v>
                </c:pt>
              </c:numCache>
            </c:numRef>
          </c:xVal>
          <c:yVal>
            <c:numRef>
              <c:f>'Tabelle1'!$D$61:$D$69</c:f>
              <c:numCache>
                <c:ptCount val="9"/>
                <c:pt idx="0">
                  <c:v>17000.000000</c:v>
                </c:pt>
                <c:pt idx="1">
                  <c:v>15407.239339</c:v>
                </c:pt>
                <c:pt idx="2">
                  <c:v>13714.492382</c:v>
                </c:pt>
                <c:pt idx="3">
                  <c:v>12207.722432</c:v>
                </c:pt>
                <c:pt idx="4">
                  <c:v>10866.496756</c:v>
                </c:pt>
                <c:pt idx="5">
                  <c:v>6821.960318</c:v>
                </c:pt>
                <c:pt idx="6">
                  <c:v>4282.810148</c:v>
                </c:pt>
                <c:pt idx="7">
                  <c:v>2688.737827</c:v>
                </c:pt>
                <c:pt idx="8">
                  <c:v>1687.983089</c:v>
                </c:pt>
              </c:numCache>
            </c:numRef>
          </c:yVal>
          <c:smooth val="1"/>
        </c:ser>
        <c:ser>
          <c:idx val="12"/>
          <c:order val="12"/>
          <c:tx>
            <c:strRef>
              <c:f>'Tabelle1'!$A$73</c:f>
              <c:strCache>
                <c:ptCount val="1"/>
                <c:pt idx="0">
                  <c:v>12,7x108</c:v>
                </c:pt>
              </c:strCache>
            </c:strRef>
          </c:tx>
          <c:spPr>
            <a:noFill/>
            <a:ln w="19050" cap="rnd">
              <a:solidFill>
                <a:srgbClr val="7CAFDD"/>
              </a:solidFill>
              <a:prstDash val="solid"/>
              <a:round/>
            </a:ln>
            <a:effectLst/>
          </c:spPr>
          <c:marker>
            <c:symbol val="none"/>
            <c:size val="4"/>
            <c:spPr>
              <a:noFill/>
              <a:ln w="19050" cap="rnd">
                <a:solidFill>
                  <a:srgbClr val="7CAFDD"/>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'Tabelle1'!$E$73:$E$81</c:f>
              <c:numCache>
                <c:ptCount val="9"/>
                <c:pt idx="0">
                  <c:v>772.800000</c:v>
                </c:pt>
                <c:pt idx="1">
                  <c:v>705.264000</c:v>
                </c:pt>
                <c:pt idx="2">
                  <c:v>635.040000</c:v>
                </c:pt>
                <c:pt idx="3">
                  <c:v>572.880000</c:v>
                </c:pt>
                <c:pt idx="4">
                  <c:v>531.408000</c:v>
                </c:pt>
                <c:pt idx="5">
                  <c:v>328.080000</c:v>
                </c:pt>
                <c:pt idx="6">
                  <c:v>200.592000</c:v>
                </c:pt>
                <c:pt idx="7">
                  <c:v>124.704000</c:v>
                </c:pt>
                <c:pt idx="8">
                  <c:v>95.472000</c:v>
                </c:pt>
              </c:numCache>
            </c:numRef>
          </c:xVal>
          <c:yVal>
            <c:numRef>
              <c:f>'Tabelle1'!$D$73:$D$81</c:f>
              <c:numCache>
                <c:ptCount val="9"/>
                <c:pt idx="0">
                  <c:v>16100.000000</c:v>
                </c:pt>
                <c:pt idx="1">
                  <c:v>14693.000000</c:v>
                </c:pt>
                <c:pt idx="2">
                  <c:v>13230.000000</c:v>
                </c:pt>
                <c:pt idx="3">
                  <c:v>11935.000000</c:v>
                </c:pt>
                <c:pt idx="4">
                  <c:v>11071.000000</c:v>
                </c:pt>
                <c:pt idx="5">
                  <c:v>6835.000000</c:v>
                </c:pt>
                <c:pt idx="6">
                  <c:v>4179.000000</c:v>
                </c:pt>
                <c:pt idx="7">
                  <c:v>2598.000000</c:v>
                </c:pt>
                <c:pt idx="8">
                  <c:v>1989.000000</c:v>
                </c:pt>
              </c:numCache>
            </c:numRef>
          </c:yVal>
          <c:smooth val="1"/>
        </c:ser>
        <c:axId val="2094734552"/>
        <c:axId val="2094734553"/>
      </c:scatterChart>
      <c:valAx>
        <c:axId val="2094734552"/>
        <c:scaling>
          <c:orientation val="minMax"/>
          <c:max val="100"/>
        </c:scaling>
        <c:delete val="0"/>
        <c:axPos val="b"/>
        <c:title>
          <c:tx>
            <c:rich>
              <a:bodyPr rot="0"/>
              <a:lstStyle/>
              <a:p>
                <a:pPr>
                  <a:defRPr b="0" i="0" strike="noStrike" sz="1000" u="none">
                    <a:solidFill>
                      <a:srgbClr val="595959"/>
                    </a:solidFill>
                    <a:latin typeface="Calibri"/>
                  </a:defRPr>
                </a:pPr>
                <a:r>
                  <a:rPr b="0" i="0" strike="noStrike" sz="1000" u="none">
                    <a:solidFill>
                      <a:srgbClr val="595959"/>
                    </a:solidFill>
                    <a:latin typeface="Calibri"/>
                  </a:rPr>
                  <a:t>P</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3"/>
        <c:crosses val="autoZero"/>
        <c:crossBetween val="between"/>
        <c:majorUnit val="25"/>
        <c:minorUnit val="12.5"/>
      </c:valAx>
      <c:valAx>
        <c:axId val="2094734553"/>
        <c:scaling>
          <c:orientation val="minMax"/>
        </c:scaling>
        <c:delete val="0"/>
        <c:axPos val="l"/>
        <c:majorGridlines>
          <c:spPr>
            <a:ln w="12700" cap="flat">
              <a:solidFill>
                <a:srgbClr val="D9D9D9"/>
              </a:solidFill>
              <a:prstDash val="solid"/>
              <a:round/>
            </a:ln>
          </c:spPr>
        </c:majorGridlines>
        <c:title>
          <c:tx>
            <c:rich>
              <a:bodyPr rot="-5400000"/>
              <a:lstStyle/>
              <a:p>
                <a:pPr>
                  <a:defRPr b="0" i="0" strike="noStrike" sz="1000" u="none">
                    <a:solidFill>
                      <a:srgbClr val="595959"/>
                    </a:solidFill>
                    <a:latin typeface="Calibri"/>
                  </a:defRPr>
                </a:pPr>
                <a:r>
                  <a:rPr b="0" i="0" strike="noStrike" sz="1000" u="none">
                    <a:solidFill>
                      <a:srgbClr val="595959"/>
                    </a:solidFill>
                    <a:latin typeface="Calibri"/>
                  </a:rPr>
                  <a:t>E</a:t>
                </a:r>
              </a:p>
            </c:rich>
          </c:tx>
          <c:layout/>
          <c:overlay val="1"/>
        </c:title>
        <c:numFmt formatCode="General" sourceLinked="1"/>
        <c:majorTickMark val="none"/>
        <c:minorTickMark val="none"/>
        <c:tickLblPos val="nextTo"/>
        <c:spPr>
          <a:ln w="12700" cap="flat">
            <a:solidFill>
              <a:srgbClr val="BFBFBF"/>
            </a:solid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7500"/>
        <c:minorUnit val="3750"/>
      </c:valAx>
      <c:spPr>
        <a:noFill/>
        <a:ln w="12700" cap="flat">
          <a:noFill/>
          <a:miter lim="400000"/>
        </a:ln>
        <a:effectLst/>
      </c:spPr>
    </c:plotArea>
    <c:legend>
      <c:legendPos val="r"/>
      <c:layout>
        <c:manualLayout>
          <c:xMode val="edge"/>
          <c:yMode val="edge"/>
          <c:x val="0.896698"/>
          <c:y val="0.403602"/>
          <c:w val="0.103302"/>
          <c:h val="0.212109"/>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5" Type="http://schemas.openxmlformats.org/officeDocument/2006/relationships/chart" Target="../charts/chart4.xml"/><Relationship Id="rId6" Type="http://schemas.openxmlformats.org/officeDocument/2006/relationships/chart" Target="../charts/chart5.xml"/></Relationships>

</file>

<file path=xl/drawings/_rels/drawing2.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33</xdr:col>
      <xdr:colOff>158750</xdr:colOff>
      <xdr:row>0</xdr:row>
      <xdr:rowOff>0</xdr:rowOff>
    </xdr:from>
    <xdr:to>
      <xdr:col>50</xdr:col>
      <xdr:colOff>436460</xdr:colOff>
      <xdr:row>58</xdr:row>
      <xdr:rowOff>150737</xdr:rowOff>
    </xdr:to>
    <xdr:pic>
      <xdr:nvPicPr>
        <xdr:cNvPr id="2" name="Image 2" descr="Image 2"/>
        <xdr:cNvPicPr>
          <a:picLocks noChangeAspect="1"/>
        </xdr:cNvPicPr>
      </xdr:nvPicPr>
      <xdr:blipFill>
        <a:blip r:embed="rId1">
          <a:extLst/>
        </a:blip>
        <a:stretch>
          <a:fillRect/>
        </a:stretch>
      </xdr:blipFill>
      <xdr:spPr>
        <a:xfrm>
          <a:off x="21951950" y="0"/>
          <a:ext cx="11504511" cy="10831438"/>
        </a:xfrm>
        <a:prstGeom prst="rect">
          <a:avLst/>
        </a:prstGeom>
        <a:ln w="12700" cap="flat">
          <a:noFill/>
          <a:miter lim="400000"/>
        </a:ln>
        <a:effectLst/>
      </xdr:spPr>
    </xdr:pic>
    <xdr:clientData/>
  </xdr:twoCellAnchor>
  <xdr:twoCellAnchor>
    <xdr:from>
      <xdr:col>20</xdr:col>
      <xdr:colOff>205699</xdr:colOff>
      <xdr:row>1</xdr:row>
      <xdr:rowOff>177626</xdr:rowOff>
    </xdr:from>
    <xdr:to>
      <xdr:col>32</xdr:col>
      <xdr:colOff>355598</xdr:colOff>
      <xdr:row>24</xdr:row>
      <xdr:rowOff>157609</xdr:rowOff>
    </xdr:to>
    <xdr:graphicFrame>
      <xdr:nvGraphicFramePr>
        <xdr:cNvPr id="3" name="Graphique 1"/>
        <xdr:cNvGraphicFramePr/>
      </xdr:nvGraphicFramePr>
      <xdr:xfrm>
        <a:off x="13413699" y="361776"/>
        <a:ext cx="8074700" cy="4215434"/>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20</xdr:col>
      <xdr:colOff>203507</xdr:colOff>
      <xdr:row>28</xdr:row>
      <xdr:rowOff>57349</xdr:rowOff>
    </xdr:from>
    <xdr:to>
      <xdr:col>32</xdr:col>
      <xdr:colOff>440204</xdr:colOff>
      <xdr:row>51</xdr:row>
      <xdr:rowOff>37332</xdr:rowOff>
    </xdr:to>
    <xdr:graphicFrame>
      <xdr:nvGraphicFramePr>
        <xdr:cNvPr id="4" name="Graphique 3"/>
        <xdr:cNvGraphicFramePr/>
      </xdr:nvGraphicFramePr>
      <xdr:xfrm>
        <a:off x="13411507" y="5213549"/>
        <a:ext cx="8161498" cy="4215434"/>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20</xdr:col>
      <xdr:colOff>278352</xdr:colOff>
      <xdr:row>53</xdr:row>
      <xdr:rowOff>102174</xdr:rowOff>
    </xdr:from>
    <xdr:to>
      <xdr:col>32</xdr:col>
      <xdr:colOff>428251</xdr:colOff>
      <xdr:row>76</xdr:row>
      <xdr:rowOff>82156</xdr:rowOff>
    </xdr:to>
    <xdr:graphicFrame>
      <xdr:nvGraphicFramePr>
        <xdr:cNvPr id="5" name="Graphique 4"/>
        <xdr:cNvGraphicFramePr/>
      </xdr:nvGraphicFramePr>
      <xdr:xfrm>
        <a:off x="13486352" y="9862124"/>
        <a:ext cx="8074700" cy="4215433"/>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14</xdr:col>
      <xdr:colOff>85810</xdr:colOff>
      <xdr:row>80</xdr:row>
      <xdr:rowOff>7594</xdr:rowOff>
    </xdr:from>
    <xdr:to>
      <xdr:col>26</xdr:col>
      <xdr:colOff>278840</xdr:colOff>
      <xdr:row>102</xdr:row>
      <xdr:rowOff>169526</xdr:rowOff>
    </xdr:to>
    <xdr:graphicFrame>
      <xdr:nvGraphicFramePr>
        <xdr:cNvPr id="6" name="Graphique 5"/>
        <xdr:cNvGraphicFramePr/>
      </xdr:nvGraphicFramePr>
      <xdr:xfrm>
        <a:off x="9331410" y="14739594"/>
        <a:ext cx="8117831" cy="4213233"/>
      </xdr:xfrm>
      <a:graphic xmlns:a="http://schemas.openxmlformats.org/drawingml/2006/main">
        <a:graphicData uri="http://schemas.openxmlformats.org/drawingml/2006/chart">
          <c:chart xmlns:c="http://schemas.openxmlformats.org/drawingml/2006/chart" r:id="rId5"/>
        </a:graphicData>
      </a:graphic>
    </xdr:graphicFrame>
    <xdr:clientData/>
  </xdr:twoCellAnchor>
  <xdr:twoCellAnchor>
    <xdr:from>
      <xdr:col>26</xdr:col>
      <xdr:colOff>388883</xdr:colOff>
      <xdr:row>85</xdr:row>
      <xdr:rowOff>36475</xdr:rowOff>
    </xdr:from>
    <xdr:to>
      <xdr:col>45</xdr:col>
      <xdr:colOff>14485</xdr:colOff>
      <xdr:row>128</xdr:row>
      <xdr:rowOff>71450</xdr:rowOff>
    </xdr:to>
    <xdr:graphicFrame>
      <xdr:nvGraphicFramePr>
        <xdr:cNvPr id="7" name="Graphique 6"/>
        <xdr:cNvGraphicFramePr/>
      </xdr:nvGraphicFramePr>
      <xdr:xfrm>
        <a:off x="17559283" y="15689225"/>
        <a:ext cx="12173203" cy="7953426"/>
      </xdr:xfrm>
      <a:graphic xmlns:a="http://schemas.openxmlformats.org/drawingml/2006/main">
        <a:graphicData uri="http://schemas.openxmlformats.org/drawingml/2006/chart">
          <c:chart xmlns:c="http://schemas.openxmlformats.org/drawingml/2006/chart" r:id="rId6"/>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15</xdr:col>
      <xdr:colOff>171450</xdr:colOff>
      <xdr:row>0</xdr:row>
      <xdr:rowOff>0</xdr:rowOff>
    </xdr:from>
    <xdr:to>
      <xdr:col>29</xdr:col>
      <xdr:colOff>144360</xdr:colOff>
      <xdr:row>58</xdr:row>
      <xdr:rowOff>150737</xdr:rowOff>
    </xdr:to>
    <xdr:pic>
      <xdr:nvPicPr>
        <xdr:cNvPr id="9" name="Image 1" descr="Image 1"/>
        <xdr:cNvPicPr>
          <a:picLocks noChangeAspect="1"/>
        </xdr:cNvPicPr>
      </xdr:nvPicPr>
      <xdr:blipFill>
        <a:blip r:embed="rId1">
          <a:extLst/>
        </a:blip>
        <a:stretch>
          <a:fillRect/>
        </a:stretch>
      </xdr:blipFill>
      <xdr:spPr>
        <a:xfrm>
          <a:off x="12630150" y="0"/>
          <a:ext cx="11529911" cy="10831438"/>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31</v>
      </c>
      <c r="C11" s="3"/>
      <c r="D11" s="3"/>
    </row>
    <row r="12">
      <c r="B12" s="4"/>
      <c r="C12" t="s" s="4">
        <v>5</v>
      </c>
      <c r="D12" t="s" s="5">
        <v>31</v>
      </c>
    </row>
  </sheetData>
  <mergeCells count="1">
    <mergeCell ref="B3:D3"/>
  </mergeCells>
  <hyperlinks>
    <hyperlink ref="D10" location="'Tabelle1'!R1C1" tooltip="" display="Tabelle1"/>
    <hyperlink ref="D12" location="'Feuil1'!R1C1" tooltip="" display="Feuil1"/>
  </hyperlinks>
</worksheet>
</file>

<file path=xl/worksheets/sheet2.xml><?xml version="1.0" encoding="utf-8"?>
<worksheet xmlns:r="http://schemas.openxmlformats.org/officeDocument/2006/relationships" xmlns="http://schemas.openxmlformats.org/spreadsheetml/2006/main">
  <dimension ref="A1:AY148"/>
  <sheetViews>
    <sheetView workbookViewId="0" showGridLines="0" defaultGridColor="1"/>
  </sheetViews>
  <sheetFormatPr defaultColWidth="8.66667" defaultRowHeight="14.5" customHeight="1" outlineLevelRow="0" outlineLevelCol="0"/>
  <cols>
    <col min="1" max="51" width="8.67188" style="6" customWidth="1"/>
    <col min="52" max="16384" width="8.67188" style="6" customWidth="1"/>
  </cols>
  <sheetData>
    <row r="1" ht="14.5" customHeight="1">
      <c r="A1" t="s" s="7">
        <v>6</v>
      </c>
      <c r="B1" t="s" s="7">
        <v>7</v>
      </c>
      <c r="C1" t="s" s="7">
        <v>8</v>
      </c>
      <c r="D1" t="s" s="7">
        <v>9</v>
      </c>
      <c r="E1" t="s" s="7">
        <v>10</v>
      </c>
      <c r="F1" t="s" s="7">
        <v>11</v>
      </c>
      <c r="G1" s="8"/>
      <c r="H1" t="s" s="7">
        <v>12</v>
      </c>
      <c r="I1" t="s" s="7">
        <v>12</v>
      </c>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t="14.5" customHeight="1">
      <c r="A2" t="s" s="7">
        <v>13</v>
      </c>
      <c r="B2" s="9">
        <v>7.45</v>
      </c>
      <c r="C2" s="9">
        <v>396</v>
      </c>
      <c r="D2" s="9">
        <v>583</v>
      </c>
      <c r="E2" s="9">
        <f>$B$2/1000*D2</f>
        <v>4.34335</v>
      </c>
      <c r="F2" s="9">
        <v>0</v>
      </c>
      <c r="G2" s="8"/>
      <c r="H2" s="9">
        <v>396</v>
      </c>
      <c r="I2" s="9">
        <v>396</v>
      </c>
      <c r="J2" s="8"/>
      <c r="K2" s="8"/>
      <c r="L2" s="8"/>
      <c r="M2" s="8"/>
      <c r="N2" t="s" s="7">
        <v>14</v>
      </c>
      <c r="O2" t="s" s="7">
        <v>9</v>
      </c>
      <c r="P2" t="s" s="7">
        <v>11</v>
      </c>
      <c r="Q2" t="s" s="7">
        <v>10</v>
      </c>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row>
    <row r="3" ht="14.5" customHeight="1">
      <c r="A3" s="8"/>
      <c r="B3" s="8"/>
      <c r="C3" s="9">
        <v>390</v>
      </c>
      <c r="D3" s="9">
        <v>565</v>
      </c>
      <c r="E3" s="9">
        <f>$B$2/1000*D3</f>
        <v>4.20925</v>
      </c>
      <c r="F3" s="9">
        <v>10</v>
      </c>
      <c r="G3" s="8"/>
      <c r="H3" s="10">
        <f>H2*EXP((-F3*1.225*0.6*PI()*0.0045^2)/(2*0.00745))</f>
        <v>383.765829305239</v>
      </c>
      <c r="I3" s="10">
        <f>I2*EXP((-F3*1.225*0.6*PI()*0.0045^2)/(2*0.00745))</f>
        <v>383.765829305239</v>
      </c>
      <c r="J3" s="8"/>
      <c r="K3" s="8"/>
      <c r="L3" t="s" s="7">
        <v>15</v>
      </c>
      <c r="M3" s="9">
        <v>1.1</v>
      </c>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row>
    <row r="4" ht="14.5" customHeight="1">
      <c r="A4" s="8"/>
      <c r="B4" s="8"/>
      <c r="C4" s="9">
        <v>383</v>
      </c>
      <c r="D4" s="9">
        <v>545</v>
      </c>
      <c r="E4" s="9">
        <f>$B$2/1000*D4</f>
        <v>4.06025</v>
      </c>
      <c r="F4" s="9">
        <v>25</v>
      </c>
      <c r="G4" s="9">
        <v>15</v>
      </c>
      <c r="H4" s="10">
        <f>H3*EXP((-G4*1.225*0.6*PI()*0.0045^2)/(2*0.00745))</f>
        <v>366.119598087643</v>
      </c>
      <c r="I4" s="10">
        <f>I3*EXP((-F4*1.225*0.6*PI()*0.0045^2)/(2*0.00745))</f>
        <v>354.808563598498</v>
      </c>
      <c r="J4" s="8"/>
      <c r="K4" s="8"/>
      <c r="L4" s="8"/>
      <c r="M4" s="8"/>
      <c r="N4" s="9">
        <v>1000</v>
      </c>
      <c r="O4" s="10">
        <f>0.5*1.1/1000*N4*N4</f>
        <v>550</v>
      </c>
      <c r="P4" s="9">
        <v>0</v>
      </c>
      <c r="Q4" s="9">
        <f>$M$3/1000*N4</f>
        <v>1.1</v>
      </c>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row>
    <row r="5" ht="14.5" customHeight="1">
      <c r="A5" s="8"/>
      <c r="B5" s="8"/>
      <c r="C5" s="9">
        <v>369</v>
      </c>
      <c r="D5" s="9">
        <v>506</v>
      </c>
      <c r="E5" s="9">
        <f>$B$2/1000*D5</f>
        <v>3.7697</v>
      </c>
      <c r="F5" s="9">
        <v>50</v>
      </c>
      <c r="G5" s="9">
        <v>25</v>
      </c>
      <c r="H5" s="10">
        <f>H4*EXP((-G5*1.225*0.6*PI()*0.0045^2)/(2*0.00745))</f>
        <v>338.493838646104</v>
      </c>
      <c r="I5" s="10">
        <f>I4*EXP((-F5*1.225*0.6*PI()*0.0045^2)/(2*0.00745))</f>
        <v>303.284122921631</v>
      </c>
      <c r="J5" s="8"/>
      <c r="K5" s="8"/>
      <c r="L5" s="8"/>
      <c r="M5" s="8"/>
      <c r="N5" s="10">
        <f>N4*EXP((-P5*1.225*1.5*PI()*0.0027^2)/(2*0.0011))</f>
        <v>825.896754611011</v>
      </c>
      <c r="O5" s="10">
        <f>0.5*1.1/1000*N5*N5</f>
        <v>375.157997102350</v>
      </c>
      <c r="P5" s="9">
        <v>10</v>
      </c>
      <c r="Q5" s="10">
        <f>$M$3/1000*N5</f>
        <v>0.9084864300721121</v>
      </c>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row>
    <row r="6" ht="14.5" customHeight="1">
      <c r="A6" s="8"/>
      <c r="B6" s="8"/>
      <c r="C6" s="8"/>
      <c r="D6" s="8"/>
      <c r="E6" s="8"/>
      <c r="F6" s="8"/>
      <c r="G6" s="8"/>
      <c r="H6" s="8"/>
      <c r="I6" s="8"/>
      <c r="J6" s="8"/>
      <c r="K6" s="8"/>
      <c r="L6" s="8"/>
      <c r="M6" s="8"/>
      <c r="N6" s="10">
        <f>N5*EXP((-P6*1.225*1.5*PI()*0.0027^2)/(2*0.0011))</f>
        <v>563.348676860360</v>
      </c>
      <c r="O6" s="10">
        <f>0.5*1.1/1000*N6*N6</f>
        <v>174.548952446175</v>
      </c>
      <c r="P6" s="9">
        <v>20</v>
      </c>
      <c r="Q6" s="10">
        <f>$M$3/1000*N6</f>
        <v>0.619683544546396</v>
      </c>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row>
    <row r="7" ht="14.5" customHeight="1">
      <c r="A7" s="8"/>
      <c r="B7" s="8"/>
      <c r="C7" s="8"/>
      <c r="D7" s="8"/>
      <c r="E7" s="8"/>
      <c r="F7" s="8"/>
      <c r="G7" s="8"/>
      <c r="H7" s="8"/>
      <c r="I7" s="8"/>
      <c r="J7" s="8"/>
      <c r="K7" s="8"/>
      <c r="L7" s="8"/>
      <c r="M7" s="8"/>
      <c r="N7" s="10">
        <f>N6*EXP((-P7*1.225*1.5*PI()*0.0027^2)/(2*0.0011))</f>
        <v>262.108024265541</v>
      </c>
      <c r="O7" s="10">
        <f>0.5*1.1/1000*N7*N7</f>
        <v>37.785339011412</v>
      </c>
      <c r="P7" s="9">
        <v>40</v>
      </c>
      <c r="Q7" s="10">
        <f>$M$3/1000*N7</f>
        <v>0.288318826692095</v>
      </c>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row>
    <row r="8" ht="14.5" customHeight="1">
      <c r="A8" t="s" s="7">
        <v>16</v>
      </c>
      <c r="B8" s="9">
        <v>8.1</v>
      </c>
      <c r="C8" s="9">
        <v>412</v>
      </c>
      <c r="D8" s="9">
        <v>683</v>
      </c>
      <c r="E8" s="9">
        <f>$B$8/1000*D8</f>
        <v>5.5323</v>
      </c>
      <c r="F8" s="9">
        <v>0</v>
      </c>
      <c r="G8" s="8"/>
      <c r="H8" t="s" s="7">
        <v>17</v>
      </c>
      <c r="I8" s="8"/>
      <c r="J8" s="8"/>
      <c r="K8" s="8"/>
      <c r="L8" s="8"/>
      <c r="M8" s="8"/>
      <c r="N8" s="10">
        <f>N7*EXP((-P8*1.225*1.5*PI()*0.0027^2)/(2*0.0011))</f>
        <v>100.718468760519</v>
      </c>
      <c r="O8" s="10">
        <f>0.5*1.1/1000*N8*N8</f>
        <v>5.579315472205</v>
      </c>
      <c r="P8" s="9">
        <v>50</v>
      </c>
      <c r="Q8" s="10">
        <f>$M$3/1000*N8</f>
        <v>0.110790315636571</v>
      </c>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row>
    <row r="9" ht="14.5" customHeight="1">
      <c r="A9" s="8"/>
      <c r="B9" s="8"/>
      <c r="C9" s="9">
        <v>386</v>
      </c>
      <c r="D9" s="9">
        <v>602</v>
      </c>
      <c r="E9" s="9">
        <f>$B$8/1000*D9</f>
        <v>4.8762</v>
      </c>
      <c r="F9" s="9">
        <v>25</v>
      </c>
      <c r="G9" s="8"/>
      <c r="H9" s="8"/>
      <c r="I9" s="8"/>
      <c r="J9" s="8"/>
      <c r="K9" s="8"/>
      <c r="L9" s="8"/>
      <c r="M9" s="8"/>
      <c r="N9" s="10">
        <f>N8*EXP((-P9*1.225*1.5*PI()*0.0027^2)/(2*0.0011))</f>
        <v>14.8719086766072</v>
      </c>
      <c r="O9" s="10"/>
      <c r="P9" s="9">
        <v>100</v>
      </c>
      <c r="Q9" s="10">
        <f>$M$3/1000*N9</f>
        <v>0.0163590995442679</v>
      </c>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row>
    <row r="10" ht="14.5" customHeight="1">
      <c r="A10" s="8"/>
      <c r="B10" s="8"/>
      <c r="C10" s="9">
        <v>363</v>
      </c>
      <c r="D10" s="9">
        <v>533</v>
      </c>
      <c r="E10" s="9">
        <f>$B$8/1000*D10</f>
        <v>4.3173</v>
      </c>
      <c r="F10" s="9">
        <v>50</v>
      </c>
      <c r="G10" s="8"/>
      <c r="H10" s="8"/>
      <c r="I10" s="8"/>
      <c r="J10" s="8"/>
      <c r="K10" s="8"/>
      <c r="L10" s="8"/>
      <c r="M10" s="8"/>
      <c r="N10" s="10">
        <f>N9*EXP((-P10*1.225*1.5*PI()*0.0027^2)/(2*0.0011))</f>
        <v>0.324251430507966</v>
      </c>
      <c r="O10" s="10"/>
      <c r="P10" s="9">
        <v>200</v>
      </c>
      <c r="Q10" s="10">
        <f>$M$3/1000*N10</f>
        <v>0.000356676573558763</v>
      </c>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row>
    <row r="11" ht="14.5" customHeight="1">
      <c r="A11" s="8"/>
      <c r="B11" s="8"/>
      <c r="C11" s="9">
        <v>344</v>
      </c>
      <c r="D11" s="9">
        <v>478</v>
      </c>
      <c r="E11" s="9">
        <f>$B$8/1000*D11</f>
        <v>3.8718</v>
      </c>
      <c r="F11" s="9">
        <v>75</v>
      </c>
      <c r="G11" s="8"/>
      <c r="H11" s="8"/>
      <c r="I11" s="8"/>
      <c r="J11" s="8"/>
      <c r="K11" s="8"/>
      <c r="L11" s="8"/>
      <c r="M11" s="8"/>
      <c r="N11" s="10"/>
      <c r="O11" s="10"/>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row>
    <row r="12" ht="14.5" customHeight="1">
      <c r="A12" s="8"/>
      <c r="B12" s="8"/>
      <c r="C12" s="9">
        <v>329</v>
      </c>
      <c r="D12" s="9">
        <v>438</v>
      </c>
      <c r="E12" s="9">
        <f>$B$8/1000*D12</f>
        <v>3.5478</v>
      </c>
      <c r="F12" s="9">
        <v>100</v>
      </c>
      <c r="G12" s="8"/>
      <c r="H12" s="8"/>
      <c r="I12" s="8"/>
      <c r="J12" s="8"/>
      <c r="K12" s="8"/>
      <c r="L12" s="8"/>
      <c r="M12" s="8"/>
      <c r="N12" s="10"/>
      <c r="O12" s="10"/>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row>
    <row r="13" ht="14.5" customHeight="1">
      <c r="A13" s="8"/>
      <c r="B13" s="8"/>
      <c r="C13" s="8"/>
      <c r="D13" s="8"/>
      <c r="E13" s="8"/>
      <c r="F13" s="8"/>
      <c r="G13" s="8"/>
      <c r="H13" s="8"/>
      <c r="I13" s="8"/>
      <c r="J13" s="8"/>
      <c r="K13" s="8"/>
      <c r="L13" s="8"/>
      <c r="M13" s="8"/>
      <c r="N13" s="10"/>
      <c r="O13" s="10"/>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row>
    <row r="14" ht="14.5" customHeight="1">
      <c r="A14" t="s" s="7">
        <v>18</v>
      </c>
      <c r="B14" s="9">
        <v>10.23</v>
      </c>
      <c r="C14" s="9">
        <v>453</v>
      </c>
      <c r="D14" s="9">
        <v>1011</v>
      </c>
      <c r="E14" s="9">
        <f>$B$14/1000*D14</f>
        <v>10.34253</v>
      </c>
      <c r="F14" s="9">
        <v>0</v>
      </c>
      <c r="G14" s="8"/>
      <c r="H14" s="8"/>
      <c r="I14" s="8"/>
      <c r="J14" s="8"/>
      <c r="K14" s="8"/>
      <c r="L14" s="8"/>
      <c r="M14" s="8"/>
      <c r="N14" t="s" s="7">
        <v>14</v>
      </c>
      <c r="O14" t="s" s="7">
        <v>9</v>
      </c>
      <c r="P14" t="s" s="7">
        <v>11</v>
      </c>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row>
    <row r="15" ht="14.5" customHeight="1">
      <c r="A15" s="8"/>
      <c r="B15" s="8"/>
      <c r="C15" s="9">
        <v>435</v>
      </c>
      <c r="D15" s="9">
        <v>966</v>
      </c>
      <c r="E15" s="9">
        <f>$B$14/1000*D15</f>
        <v>9.88218</v>
      </c>
      <c r="F15" s="9">
        <v>10</v>
      </c>
      <c r="G15" s="8"/>
      <c r="H15" s="8"/>
      <c r="I15" s="8"/>
      <c r="J15" s="8"/>
      <c r="K15" s="8"/>
      <c r="L15" t="s" s="7">
        <v>19</v>
      </c>
      <c r="M15" s="9">
        <v>2.84</v>
      </c>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row>
    <row r="16" ht="14.5" customHeight="1">
      <c r="A16" s="8"/>
      <c r="B16" s="8"/>
      <c r="C16" s="9">
        <v>420</v>
      </c>
      <c r="D16" s="9">
        <v>900</v>
      </c>
      <c r="E16" s="9">
        <f>$B$14/1000*D16</f>
        <v>9.207000000000001</v>
      </c>
      <c r="F16" s="9">
        <v>25</v>
      </c>
      <c r="G16" s="8"/>
      <c r="H16" s="8"/>
      <c r="I16" s="8"/>
      <c r="J16" s="8"/>
      <c r="K16" s="8"/>
      <c r="L16" s="8"/>
      <c r="M16" s="8"/>
      <c r="N16" s="9">
        <v>1000</v>
      </c>
      <c r="O16" s="10">
        <f>0.5*$M$15/1000*N16*N16</f>
        <v>1420</v>
      </c>
      <c r="P16" s="9">
        <v>0</v>
      </c>
      <c r="Q16" s="9">
        <f>$M$15/1000*N16</f>
        <v>2.84</v>
      </c>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row>
    <row r="17" ht="14.5" customHeight="1">
      <c r="A17" s="8"/>
      <c r="B17" s="8"/>
      <c r="C17" s="9">
        <v>395</v>
      </c>
      <c r="D17" s="9">
        <v>496</v>
      </c>
      <c r="E17" s="9">
        <f>$B$14/1000*D17</f>
        <v>5.07408</v>
      </c>
      <c r="F17" s="9">
        <v>50</v>
      </c>
      <c r="G17" s="8"/>
      <c r="H17" s="8"/>
      <c r="I17" s="8"/>
      <c r="J17" s="8"/>
      <c r="K17" s="8"/>
      <c r="L17" s="8"/>
      <c r="M17" s="8"/>
      <c r="N17" s="10">
        <f>1000*EXP((-P17*1.225*1.5*PI()*0.0038^2)/(2*0.00284))</f>
        <v>863.5045850125611</v>
      </c>
      <c r="O17" s="10">
        <f>0.5*$M$15/1000*N17*N17</f>
        <v>1058.809039039560</v>
      </c>
      <c r="P17" s="9">
        <v>10</v>
      </c>
      <c r="Q17" s="10">
        <f>$M$15/1000*N17</f>
        <v>2.45235302143567</v>
      </c>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row>
    <row r="18" ht="14.5" customHeight="1">
      <c r="A18" s="8"/>
      <c r="B18" s="8"/>
      <c r="C18" s="8"/>
      <c r="D18" s="8"/>
      <c r="E18" s="8"/>
      <c r="F18" s="8"/>
      <c r="G18" s="8"/>
      <c r="H18" s="8"/>
      <c r="I18" s="8"/>
      <c r="J18" s="8"/>
      <c r="K18" s="8"/>
      <c r="L18" s="8"/>
      <c r="M18" s="8"/>
      <c r="N18" s="10">
        <f>1000*EXP((-P18*1.225*1.5*PI()*0.0038^2)/(2*0.00284))</f>
        <v>745.640168337715</v>
      </c>
      <c r="O18" s="10">
        <f>0.5*$M$15/1000*N18*N18</f>
        <v>789.490550106948</v>
      </c>
      <c r="P18" s="9">
        <v>20</v>
      </c>
      <c r="Q18" s="10">
        <f>$M$15/1000*N18</f>
        <v>2.11761807807911</v>
      </c>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row>
    <row r="19" ht="14.5" customHeight="1">
      <c r="A19" t="s" s="7">
        <v>20</v>
      </c>
      <c r="B19" s="9">
        <v>3.4</v>
      </c>
      <c r="C19" s="9">
        <v>900</v>
      </c>
      <c r="D19" s="9">
        <v>1417</v>
      </c>
      <c r="E19" s="9">
        <f>$B$19/1000*D19</f>
        <v>4.8178</v>
      </c>
      <c r="F19" s="9">
        <v>0</v>
      </c>
      <c r="G19" s="8"/>
      <c r="H19" s="8"/>
      <c r="I19" s="8"/>
      <c r="J19" s="8"/>
      <c r="K19" s="8"/>
      <c r="L19" s="8"/>
      <c r="M19" s="8"/>
      <c r="N19" s="10">
        <f>1000*EXP((-P19*1.225*1.5*PI()*0.0038^2)/(2*0.00284))</f>
        <v>555.979260638696</v>
      </c>
      <c r="O19" s="10">
        <f>0.5*$M$15/1000*N19*N19</f>
        <v>438.940372329699</v>
      </c>
      <c r="P19" s="9">
        <v>40</v>
      </c>
      <c r="Q19" s="10">
        <f>$M$15/1000*N19</f>
        <v>1.5789811002139</v>
      </c>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row>
    <row r="20" ht="14.5" customHeight="1">
      <c r="A20" s="8"/>
      <c r="B20" s="8"/>
      <c r="C20" s="9">
        <v>802</v>
      </c>
      <c r="D20" s="9">
        <v>1105</v>
      </c>
      <c r="E20" s="9">
        <f>$B$19/1000*D20</f>
        <v>3.757</v>
      </c>
      <c r="F20" s="9">
        <v>100</v>
      </c>
      <c r="G20" s="8"/>
      <c r="H20" s="8"/>
      <c r="I20" s="8"/>
      <c r="J20" s="8"/>
      <c r="K20" s="8"/>
      <c r="L20" s="8"/>
      <c r="M20" s="8"/>
      <c r="N20" s="10">
        <f>1000*EXP((-P20*1.225*1.5*PI()*0.0038^2)/(2*0.00284))</f>
        <v>480.090640733408</v>
      </c>
      <c r="O20" s="10">
        <f>0.5*$M$15/1000*N20*N20</f>
        <v>327.291573114136</v>
      </c>
      <c r="P20" s="9">
        <v>50</v>
      </c>
      <c r="Q20" s="10">
        <f>$M$15/1000*N20</f>
        <v>1.36345741968288</v>
      </c>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row>
    <row r="21" ht="14.5" customHeight="1">
      <c r="A21" s="8"/>
      <c r="B21" s="8"/>
      <c r="C21" s="9">
        <v>713</v>
      </c>
      <c r="D21" s="9">
        <v>873</v>
      </c>
      <c r="E21" s="9">
        <f>$B$19/1000*D21</f>
        <v>2.9682</v>
      </c>
      <c r="F21" s="9">
        <v>200</v>
      </c>
      <c r="G21" s="8"/>
      <c r="H21" s="8"/>
      <c r="I21" s="8"/>
      <c r="J21" s="8"/>
      <c r="K21" s="8"/>
      <c r="L21" s="8"/>
      <c r="M21" s="8"/>
      <c r="N21" s="10">
        <f>1000*EXP((-P21*1.225*1.5*PI()*0.0038^2)/(2*0.00284))</f>
        <v>230.487023319814</v>
      </c>
      <c r="O21" s="10">
        <f>0.5*$M$15/1000*N21*N21</f>
        <v>75.4364604447364</v>
      </c>
      <c r="P21" s="9">
        <v>100</v>
      </c>
      <c r="Q21" s="10">
        <f>$M$15/1000*N21</f>
        <v>0.654583146228272</v>
      </c>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row>
    <row r="22" ht="14.5" customHeight="1">
      <c r="A22" s="8"/>
      <c r="B22" s="8"/>
      <c r="C22" s="9">
        <v>628</v>
      </c>
      <c r="D22" s="9">
        <v>677</v>
      </c>
      <c r="E22" s="9">
        <f>$B$19/1000*D22</f>
        <v>2.3018</v>
      </c>
      <c r="F22" s="9">
        <v>300</v>
      </c>
      <c r="G22" s="8"/>
      <c r="H22" s="8"/>
      <c r="I22" s="8"/>
      <c r="J22" s="8"/>
      <c r="K22" s="8"/>
      <c r="L22" s="8"/>
      <c r="M22" s="8"/>
      <c r="N22" s="10">
        <f>1000*EXP((-P22*1.225*1.5*PI()*0.0038^2)/(2*0.00284))</f>
        <v>53.1242679188284</v>
      </c>
      <c r="O22" s="10">
        <f>0.5*$M$15/1000*N22*N22</f>
        <v>4.00750673551427</v>
      </c>
      <c r="P22" s="9">
        <v>200</v>
      </c>
      <c r="Q22" s="10">
        <f>$M$15/1000*N22</f>
        <v>0.150872920889473</v>
      </c>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row>
    <row r="23" ht="14.5" customHeight="1">
      <c r="A23" s="8"/>
      <c r="B23" s="8"/>
      <c r="C23" s="9">
        <v>550</v>
      </c>
      <c r="D23" s="9">
        <v>519</v>
      </c>
      <c r="E23" s="9">
        <f>$B$19/1000*D23</f>
        <v>1.7646</v>
      </c>
      <c r="F23" s="9">
        <v>400</v>
      </c>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row>
    <row r="24" ht="14.5" customHeight="1">
      <c r="A24" s="8"/>
      <c r="B24" s="8"/>
      <c r="C24" s="9">
        <v>473</v>
      </c>
      <c r="D24" s="9">
        <v>384</v>
      </c>
      <c r="E24" s="9">
        <f>$B$19/1000*D24</f>
        <v>1.3056</v>
      </c>
      <c r="F24" s="9">
        <v>500</v>
      </c>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row>
    <row r="25" ht="14.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row>
    <row r="26" ht="14.5" customHeight="1">
      <c r="A26" t="s" s="7">
        <v>21</v>
      </c>
      <c r="B26" s="9">
        <v>4</v>
      </c>
      <c r="C26" s="9">
        <v>930</v>
      </c>
      <c r="D26" s="9">
        <v>1708</v>
      </c>
      <c r="E26" s="9">
        <f>$B$26/1000*D26</f>
        <v>6.832</v>
      </c>
      <c r="F26" s="9">
        <v>0</v>
      </c>
      <c r="G26" s="8"/>
      <c r="H26" s="8"/>
      <c r="I26" s="8"/>
      <c r="J26" s="8"/>
      <c r="K26" s="8"/>
      <c r="L26" s="8"/>
      <c r="M26" s="8"/>
      <c r="N26" t="s" s="7">
        <v>14</v>
      </c>
      <c r="O26" t="s" s="7">
        <v>9</v>
      </c>
      <c r="P26" t="s" s="7">
        <v>11</v>
      </c>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row>
    <row r="27" ht="14.5" customHeight="1">
      <c r="A27" s="8"/>
      <c r="B27" s="8"/>
      <c r="C27" s="9">
        <v>832</v>
      </c>
      <c r="D27" s="9">
        <v>1367</v>
      </c>
      <c r="E27" s="9">
        <f>$B$26/1000*D27</f>
        <v>5.468</v>
      </c>
      <c r="F27" s="9">
        <v>100</v>
      </c>
      <c r="G27" s="8"/>
      <c r="H27" s="8"/>
      <c r="I27" s="8"/>
      <c r="J27" s="8"/>
      <c r="K27" s="8"/>
      <c r="L27" t="s" s="7">
        <v>22</v>
      </c>
      <c r="M27" s="9">
        <v>13.39</v>
      </c>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row>
    <row r="28" ht="14.5" customHeight="1">
      <c r="A28" s="8"/>
      <c r="B28" s="8"/>
      <c r="C28" s="9">
        <v>740</v>
      </c>
      <c r="D28" s="9">
        <v>1081</v>
      </c>
      <c r="E28" s="9">
        <f>$B$26/1000*D28</f>
        <v>4.324</v>
      </c>
      <c r="F28" s="9">
        <v>200</v>
      </c>
      <c r="G28" s="8"/>
      <c r="H28" s="8"/>
      <c r="I28" s="8"/>
      <c r="J28" s="8"/>
      <c r="K28" s="8"/>
      <c r="L28" s="8"/>
      <c r="M28" s="8"/>
      <c r="N28" s="9">
        <v>1000</v>
      </c>
      <c r="O28" s="10">
        <f>0.5*$M$27/1000*N28*N28</f>
        <v>6695</v>
      </c>
      <c r="P28" s="9">
        <v>0</v>
      </c>
      <c r="Q28" s="9">
        <f>$M$27/1000*N28</f>
        <v>13.39</v>
      </c>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row>
    <row r="29" ht="14.5" customHeight="1">
      <c r="A29" s="8"/>
      <c r="B29" s="8"/>
      <c r="C29" s="9">
        <v>650</v>
      </c>
      <c r="D29" s="9">
        <v>834</v>
      </c>
      <c r="E29" s="9">
        <f>$B$26/1000*D29</f>
        <v>3.336</v>
      </c>
      <c r="F29" s="9">
        <v>300</v>
      </c>
      <c r="G29" s="8"/>
      <c r="H29" s="8"/>
      <c r="I29" s="8"/>
      <c r="J29" s="8"/>
      <c r="K29" s="8"/>
      <c r="L29" s="8"/>
      <c r="M29" s="8"/>
      <c r="N29" s="10">
        <f>1000*EXP((-P29*1.225*1.5*PI()*0.00635^2)/(2*0.01339))</f>
        <v>916.751463750290</v>
      </c>
      <c r="O29" s="10">
        <f>0.5*$M$27/1000*N29*N29</f>
        <v>5626.700583900160</v>
      </c>
      <c r="P29" s="9">
        <v>10</v>
      </c>
      <c r="Q29" s="10">
        <f>$M$27/1000*N29</f>
        <v>12.2753020996164</v>
      </c>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row>
    <row r="30" ht="14.5" customHeight="1">
      <c r="A30" s="8"/>
      <c r="B30" s="8"/>
      <c r="C30" s="9">
        <v>574</v>
      </c>
      <c r="D30" s="9">
        <v>650</v>
      </c>
      <c r="E30" s="9">
        <f>$B$26/1000*D30</f>
        <v>2.6</v>
      </c>
      <c r="F30" s="9">
        <v>400</v>
      </c>
      <c r="G30" s="8"/>
      <c r="H30" s="8"/>
      <c r="I30" s="8"/>
      <c r="J30" s="8"/>
      <c r="K30" s="8"/>
      <c r="L30" s="8"/>
      <c r="M30" s="8"/>
      <c r="N30" s="10">
        <f>1000*EXP((-P30*1.225*1.5*PI()*0.00635^2)/(2*0.01339))</f>
        <v>840.433246288299</v>
      </c>
      <c r="O30" s="10">
        <f>0.5*$M$27/1000*N30*N30</f>
        <v>4728.866237619480</v>
      </c>
      <c r="P30" s="9">
        <v>20</v>
      </c>
      <c r="Q30" s="10">
        <f>$M$27/1000*N30</f>
        <v>11.2534011678003</v>
      </c>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row>
    <row r="31" ht="14.5" customHeight="1">
      <c r="A31" s="8"/>
      <c r="B31" s="8"/>
      <c r="C31" s="9">
        <v>500</v>
      </c>
      <c r="D31" s="9">
        <v>494</v>
      </c>
      <c r="E31" s="9">
        <f>$B$26/1000*D31</f>
        <v>1.976</v>
      </c>
      <c r="F31" s="9">
        <v>500</v>
      </c>
      <c r="G31" s="8"/>
      <c r="H31" s="8"/>
      <c r="I31" s="8"/>
      <c r="J31" s="8"/>
      <c r="K31" s="8"/>
      <c r="L31" s="8"/>
      <c r="M31" s="8"/>
      <c r="N31" s="10">
        <f>1000*EXP((-P31*1.225*1.5*PI()*0.00635^2)/(2*0.01339))</f>
        <v>706.328041466688</v>
      </c>
      <c r="O31" s="10">
        <f>0.5*$M$27/1000*N31*N31</f>
        <v>3340.130827975710</v>
      </c>
      <c r="P31" s="9">
        <v>40</v>
      </c>
      <c r="Q31" s="10">
        <f>$M$27/1000*N31</f>
        <v>9.45773247523895</v>
      </c>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row>
    <row r="32" ht="14.5" customHeight="1">
      <c r="A32" s="8"/>
      <c r="B32" s="8"/>
      <c r="C32" s="8"/>
      <c r="D32" s="8"/>
      <c r="E32" s="8"/>
      <c r="F32" s="8"/>
      <c r="G32" s="8"/>
      <c r="H32" s="8"/>
      <c r="I32" s="8"/>
      <c r="J32" s="8"/>
      <c r="K32" s="8"/>
      <c r="L32" s="8"/>
      <c r="M32" s="8"/>
      <c r="N32" s="10">
        <f>1000*EXP((-P32*1.225*1.5*PI()*0.00635^2)/(2*0.01339))</f>
        <v>647.527265902461</v>
      </c>
      <c r="O32" s="10">
        <f>0.5*$M$27/1000*N32*N32</f>
        <v>2807.156994783240</v>
      </c>
      <c r="P32" s="9">
        <v>50</v>
      </c>
      <c r="Q32" s="10">
        <f>$M$27/1000*N32</f>
        <v>8.670390090433949</v>
      </c>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row>
    <row r="33" ht="14.5" customHeight="1">
      <c r="A33" t="s" s="7">
        <v>23</v>
      </c>
      <c r="B33" s="9">
        <v>8</v>
      </c>
      <c r="C33" s="9">
        <v>710</v>
      </c>
      <c r="D33" s="9">
        <v>2010</v>
      </c>
      <c r="E33" s="9">
        <f>$B$33/1000*D33</f>
        <v>16.08</v>
      </c>
      <c r="F33" s="9">
        <v>0</v>
      </c>
      <c r="G33" s="8"/>
      <c r="H33" s="8"/>
      <c r="I33" s="8"/>
      <c r="J33" s="8"/>
      <c r="K33" s="8"/>
      <c r="L33" s="8"/>
      <c r="M33" s="8"/>
      <c r="N33" s="10">
        <f>1000*EXP((-P33*1.225*1.5*PI()*0.00635^2)/(2*0.01339))</f>
        <v>419.291560087117</v>
      </c>
      <c r="O33" s="10">
        <f>0.5*$M$27/1000*N33*N33</f>
        <v>1177.017235752130</v>
      </c>
      <c r="P33" s="9">
        <v>100</v>
      </c>
      <c r="Q33" s="10">
        <f>$M$27/1000*N33</f>
        <v>5.6143139895665</v>
      </c>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row>
    <row r="34" ht="14.5" customHeight="1">
      <c r="A34" s="8"/>
      <c r="B34" s="8"/>
      <c r="C34" s="9">
        <v>632</v>
      </c>
      <c r="D34" s="9">
        <v>1592</v>
      </c>
      <c r="E34" s="9">
        <f>$B$33/1000*D34</f>
        <v>12.736</v>
      </c>
      <c r="F34" s="9">
        <v>100</v>
      </c>
      <c r="G34" s="8"/>
      <c r="H34" s="8"/>
      <c r="I34" s="8"/>
      <c r="J34" s="8"/>
      <c r="K34" s="8"/>
      <c r="L34" s="8"/>
      <c r="M34" s="8"/>
      <c r="N34" s="10">
        <f>1000*EXP((-P34*1.225*1.5*PI()*0.00635^2)/(2*0.01339))</f>
        <v>175.805412360288</v>
      </c>
      <c r="O34" s="10">
        <f>0.5*$M$27/1000*N34*N34</f>
        <v>206.926000486569</v>
      </c>
      <c r="P34" s="9">
        <v>200</v>
      </c>
      <c r="Q34" s="10">
        <f>$M$27/1000*N34</f>
        <v>2.35403447150426</v>
      </c>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row>
    <row r="35" ht="14.5" customHeight="1">
      <c r="A35" s="8"/>
      <c r="B35" s="8"/>
      <c r="C35" s="9">
        <v>547</v>
      </c>
      <c r="D35" s="9">
        <v>1192</v>
      </c>
      <c r="E35" s="9">
        <f>$B$33/1000*D35</f>
        <v>9.536</v>
      </c>
      <c r="F35" s="9">
        <v>200</v>
      </c>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row>
    <row r="36" ht="14.5" customHeight="1">
      <c r="A36" s="8"/>
      <c r="B36" s="8"/>
      <c r="C36" s="9">
        <v>471</v>
      </c>
      <c r="D36" s="9">
        <v>884</v>
      </c>
      <c r="E36" s="9">
        <f>$B$33/1000*D36</f>
        <v>7.072</v>
      </c>
      <c r="F36" s="9">
        <v>300</v>
      </c>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row>
    <row r="37" ht="14.5" customHeight="1">
      <c r="A37" s="8"/>
      <c r="B37" s="8"/>
      <c r="C37" s="9">
        <v>399</v>
      </c>
      <c r="D37" s="9">
        <v>634</v>
      </c>
      <c r="E37" s="9">
        <f>$B$33/1000*D37</f>
        <v>5.072</v>
      </c>
      <c r="F37" s="9">
        <v>400</v>
      </c>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row>
    <row r="38" ht="14.5" customHeight="1">
      <c r="A38" s="8"/>
      <c r="B38" s="8"/>
      <c r="C38" s="9">
        <v>343</v>
      </c>
      <c r="D38" s="9">
        <v>468</v>
      </c>
      <c r="E38" s="9">
        <f>$B$33/1000*D38</f>
        <v>3.744</v>
      </c>
      <c r="F38" s="9">
        <v>500</v>
      </c>
      <c r="G38" s="8"/>
      <c r="H38" s="8"/>
      <c r="I38" s="8"/>
      <c r="J38" s="8"/>
      <c r="K38" s="8"/>
      <c r="L38" s="8"/>
      <c r="M38" s="8"/>
      <c r="N38" t="s" s="7">
        <v>14</v>
      </c>
      <c r="O38" t="s" s="7">
        <v>9</v>
      </c>
      <c r="P38" t="s" s="7">
        <v>11</v>
      </c>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row>
    <row r="39" ht="14.5" customHeight="1">
      <c r="A39" s="8"/>
      <c r="B39" s="8"/>
      <c r="C39" s="8"/>
      <c r="D39" s="8"/>
      <c r="E39" s="8"/>
      <c r="F39" s="8"/>
      <c r="G39" s="8"/>
      <c r="H39" s="8"/>
      <c r="I39" s="8"/>
      <c r="J39" s="8"/>
      <c r="K39" s="8"/>
      <c r="L39" t="s" s="7">
        <v>24</v>
      </c>
      <c r="M39" s="9">
        <v>52.73</v>
      </c>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row>
    <row r="40" ht="14.5" customHeight="1">
      <c r="A40" t="s" s="7">
        <v>25</v>
      </c>
      <c r="B40" s="9">
        <v>9.5</v>
      </c>
      <c r="C40" s="9">
        <v>854</v>
      </c>
      <c r="D40" s="9">
        <v>3519</v>
      </c>
      <c r="E40" s="9">
        <f>$B$40/1000*D40</f>
        <v>33.4305</v>
      </c>
      <c r="F40" s="9">
        <v>0</v>
      </c>
      <c r="G40" s="8"/>
      <c r="H40" s="8"/>
      <c r="I40" s="8"/>
      <c r="J40" s="8"/>
      <c r="K40" s="8"/>
      <c r="L40" s="8"/>
      <c r="M40" s="8"/>
      <c r="N40" s="9">
        <v>1000</v>
      </c>
      <c r="O40" s="10">
        <f>0.5*$M$39/1000*N40*N40</f>
        <v>26365</v>
      </c>
      <c r="P40" s="9">
        <v>0</v>
      </c>
      <c r="Q40" s="9">
        <f>$M$39/1000*N40</f>
        <v>52.73</v>
      </c>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row>
    <row r="41" ht="14.5" customHeight="1">
      <c r="A41" s="8"/>
      <c r="B41" s="8"/>
      <c r="C41" s="9">
        <v>778</v>
      </c>
      <c r="D41" s="9">
        <v>2920</v>
      </c>
      <c r="E41" s="9">
        <f>$B$40/1000*D41</f>
        <v>27.74</v>
      </c>
      <c r="F41" s="9">
        <v>100</v>
      </c>
      <c r="G41" s="8"/>
      <c r="H41" s="8"/>
      <c r="I41" s="8"/>
      <c r="J41" s="8"/>
      <c r="K41" s="8"/>
      <c r="L41" s="8"/>
      <c r="M41" s="8"/>
      <c r="N41" s="10">
        <f>1000*EXP((-P41*1.225*1.5*PI()*0.015^2)/(2*0.05273))</f>
        <v>884.121617196428</v>
      </c>
      <c r="O41" s="10">
        <f>0.5*$M$39/1000*N41*N41</f>
        <v>20608.7568112525</v>
      </c>
      <c r="P41" s="9">
        <v>10</v>
      </c>
      <c r="Q41" s="10">
        <f>$M$39/1000*N41</f>
        <v>46.6197328747676</v>
      </c>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row>
    <row r="42" ht="14.5" customHeight="1">
      <c r="A42" s="8"/>
      <c r="B42" s="8"/>
      <c r="C42" s="9">
        <v>709</v>
      </c>
      <c r="D42" s="9">
        <v>2425</v>
      </c>
      <c r="E42" s="9">
        <f>$B$40/1000*D42</f>
        <v>23.0375</v>
      </c>
      <c r="F42" s="9">
        <v>200</v>
      </c>
      <c r="G42" s="8"/>
      <c r="H42" s="8"/>
      <c r="I42" s="8"/>
      <c r="J42" s="8"/>
      <c r="K42" s="8"/>
      <c r="L42" s="8"/>
      <c r="M42" s="8"/>
      <c r="N42" s="10">
        <f>1000*EXP((-P42*1.225*1.5*PI()*0.015^2)/(2*0.05273))</f>
        <v>781.6710339940259</v>
      </c>
      <c r="O42" s="10">
        <f>0.5*$M$39/1000*N42*N42</f>
        <v>16109.2682459832</v>
      </c>
      <c r="P42" s="9">
        <v>20</v>
      </c>
      <c r="Q42" s="10">
        <f>$M$39/1000*N42</f>
        <v>41.217513622505</v>
      </c>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row>
    <row r="43" ht="14.5" customHeight="1">
      <c r="A43" s="8"/>
      <c r="B43" s="8"/>
      <c r="C43" s="9">
        <v>642</v>
      </c>
      <c r="D43" s="9">
        <v>1988</v>
      </c>
      <c r="E43" s="9">
        <f>$B$40/1000*D43</f>
        <v>18.886</v>
      </c>
      <c r="F43" s="9">
        <v>300</v>
      </c>
      <c r="G43" s="8"/>
      <c r="H43" s="8"/>
      <c r="I43" s="8"/>
      <c r="J43" s="8"/>
      <c r="K43" s="8"/>
      <c r="L43" s="8"/>
      <c r="M43" s="8"/>
      <c r="N43" s="10">
        <f>1000*EXP((-P43*1.225*1.5*PI()*0.015^2)/(2*0.05273))</f>
        <v>611.009605385290</v>
      </c>
      <c r="O43" s="10">
        <f>0.5*$M$39/1000*N43*N43</f>
        <v>9842.917634023959</v>
      </c>
      <c r="P43" s="9">
        <v>40</v>
      </c>
      <c r="Q43" s="10">
        <f>$M$39/1000*N43</f>
        <v>32.2185364919663</v>
      </c>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row>
    <row r="44" ht="14.5" customHeight="1">
      <c r="A44" s="8"/>
      <c r="B44" s="8"/>
      <c r="C44" s="9">
        <v>578</v>
      </c>
      <c r="D44" s="9">
        <v>1612</v>
      </c>
      <c r="E44" s="9">
        <f>$B$40/1000*D44</f>
        <v>15.314</v>
      </c>
      <c r="F44" s="9">
        <v>400</v>
      </c>
      <c r="G44" s="8"/>
      <c r="H44" s="8"/>
      <c r="I44" s="8"/>
      <c r="J44" s="8"/>
      <c r="K44" s="8"/>
      <c r="L44" s="8"/>
      <c r="M44" s="8"/>
      <c r="N44" s="10">
        <f>1000*EXP((-P44*1.225*1.5*PI()*0.015^2)/(2*0.05273))</f>
        <v>540.206800435794</v>
      </c>
      <c r="O44" s="10">
        <f>0.5*$M$39/1000*N44*N44</f>
        <v>7693.923604505560</v>
      </c>
      <c r="P44" s="9">
        <v>50</v>
      </c>
      <c r="Q44" s="10">
        <f>$M$39/1000*N44</f>
        <v>28.4851045869794</v>
      </c>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row>
    <row r="45" ht="14.5" customHeight="1">
      <c r="A45" s="8"/>
      <c r="B45" s="8"/>
      <c r="C45" s="9">
        <v>518</v>
      </c>
      <c r="D45" s="9">
        <v>1295</v>
      </c>
      <c r="E45" s="9">
        <f>$B$40/1000*D45</f>
        <v>12.3025</v>
      </c>
      <c r="F45" s="9">
        <v>500</v>
      </c>
      <c r="G45" s="8"/>
      <c r="H45" s="8"/>
      <c r="I45" s="8"/>
      <c r="J45" s="8"/>
      <c r="K45" s="8"/>
      <c r="L45" s="8"/>
      <c r="M45" s="8"/>
      <c r="N45" s="10">
        <f>1000*EXP((-P45*1.225*1.5*PI()*0.015^2)/(2*0.05273))</f>
        <v>291.823387237078</v>
      </c>
      <c r="O45" s="10">
        <f>0.5*$M$39/1000*N45*N45</f>
        <v>2245.266847410120</v>
      </c>
      <c r="P45" s="9">
        <v>100</v>
      </c>
      <c r="Q45" s="10">
        <f>$M$39/1000*N45</f>
        <v>15.3878472090111</v>
      </c>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row>
    <row r="46" ht="14.5" customHeight="1">
      <c r="A46" s="8"/>
      <c r="B46" s="8"/>
      <c r="C46" s="8"/>
      <c r="D46" s="8"/>
      <c r="E46" s="8"/>
      <c r="F46" s="8"/>
      <c r="G46" s="8"/>
      <c r="H46" s="8"/>
      <c r="I46" s="8"/>
      <c r="J46" s="8"/>
      <c r="K46" s="8"/>
      <c r="L46" s="8"/>
      <c r="M46" s="8"/>
      <c r="N46" s="10">
        <f>1000*EXP((-P46*1.225*1.5*PI()*0.015^2)/(2*0.05273))</f>
        <v>85.1608893385215</v>
      </c>
      <c r="O46" s="10">
        <f>0.5*$M$39/1000*N46*N46</f>
        <v>191.208921527744</v>
      </c>
      <c r="P46" s="9">
        <v>200</v>
      </c>
      <c r="Q46" s="10">
        <f>$M$39/1000*N46</f>
        <v>4.49053369482024</v>
      </c>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row>
    <row r="47" ht="14.5" customHeight="1">
      <c r="A47" t="s" s="7">
        <v>26</v>
      </c>
      <c r="B47" s="9">
        <v>16.2</v>
      </c>
      <c r="C47" s="9">
        <v>915</v>
      </c>
      <c r="D47" s="9">
        <v>6766</v>
      </c>
      <c r="E47" s="9">
        <f>$B$47/1000*D47</f>
        <v>109.6092</v>
      </c>
      <c r="F47" s="9">
        <v>0</v>
      </c>
      <c r="G47" s="8"/>
      <c r="H47" t="s" s="7">
        <v>27</v>
      </c>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row>
    <row r="48" ht="14.5" customHeight="1">
      <c r="A48" s="8"/>
      <c r="B48" s="8"/>
      <c r="C48" s="9">
        <v>820</v>
      </c>
      <c r="D48" s="9">
        <v>5318</v>
      </c>
      <c r="E48" s="9">
        <f>$B$47/1000*D48</f>
        <v>86.1516</v>
      </c>
      <c r="F48" s="9">
        <v>200</v>
      </c>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row>
    <row r="49" ht="14.5" customHeight="1">
      <c r="A49" s="8"/>
      <c r="B49" s="8"/>
      <c r="C49" s="9">
        <v>730</v>
      </c>
      <c r="D49" s="9">
        <v>4127</v>
      </c>
      <c r="E49" s="9">
        <f>$B$47/1000*D49</f>
        <v>66.8574</v>
      </c>
      <c r="F49" s="9">
        <v>400</v>
      </c>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row>
    <row r="50" ht="14.5" customHeight="1">
      <c r="A50" s="8"/>
      <c r="B50" s="8"/>
      <c r="C50" s="9">
        <v>645</v>
      </c>
      <c r="D50" s="9">
        <v>3156</v>
      </c>
      <c r="E50" s="9">
        <f>$B$47/1000*D50</f>
        <v>51.1272</v>
      </c>
      <c r="F50" s="9">
        <v>600</v>
      </c>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row>
    <row r="51" ht="14.5" customHeight="1">
      <c r="A51" s="8"/>
      <c r="B51" s="8"/>
      <c r="C51" s="9">
        <v>566</v>
      </c>
      <c r="D51" s="9">
        <v>2375</v>
      </c>
      <c r="E51" s="9">
        <f>$B$47/1000*D51</f>
        <v>38.475</v>
      </c>
      <c r="F51" s="9">
        <v>800</v>
      </c>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row>
    <row r="52" ht="14.5" customHeight="1">
      <c r="A52" s="8"/>
      <c r="B52" s="8"/>
      <c r="C52" s="9">
        <v>492</v>
      </c>
      <c r="D52" s="9">
        <v>1769</v>
      </c>
      <c r="E52" s="9">
        <f>$B$47/1000*D52</f>
        <v>28.6578</v>
      </c>
      <c r="F52" s="9">
        <v>1000</v>
      </c>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row>
    <row r="53" ht="14.5" customHeight="1">
      <c r="A53" s="8"/>
      <c r="B53" s="8"/>
      <c r="C53" s="9">
        <v>423</v>
      </c>
      <c r="D53" s="9">
        <v>1321</v>
      </c>
      <c r="E53" s="9">
        <f>$B$47/1000*D53</f>
        <v>21.4002</v>
      </c>
      <c r="F53" s="9">
        <v>1200</v>
      </c>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row>
    <row r="54" ht="14.5" customHeight="1">
      <c r="A54" s="8"/>
      <c r="B54" s="8"/>
      <c r="C54" s="9">
        <v>354</v>
      </c>
      <c r="D54" s="9">
        <v>1015</v>
      </c>
      <c r="E54" s="9">
        <f>$B$47/1000*D54</f>
        <v>16.443</v>
      </c>
      <c r="F54" s="9">
        <v>1400</v>
      </c>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row>
    <row r="55" ht="14.5" customHeight="1">
      <c r="A55" s="8"/>
      <c r="B55" s="8"/>
      <c r="C55" s="9">
        <v>319</v>
      </c>
      <c r="D55" s="9">
        <v>828</v>
      </c>
      <c r="E55" s="9">
        <f>$B$47/1000*D55</f>
        <v>13.4136</v>
      </c>
      <c r="F55" s="9">
        <v>1600</v>
      </c>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row>
    <row r="56" ht="14.5" customHeight="1">
      <c r="A56" s="8"/>
      <c r="B56" s="8"/>
      <c r="C56" s="9">
        <v>296</v>
      </c>
      <c r="D56" s="9">
        <v>710</v>
      </c>
      <c r="E56" s="9">
        <f>$B$47/1000*D56</f>
        <v>11.502</v>
      </c>
      <c r="F56" s="9">
        <v>1800</v>
      </c>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row>
    <row r="57" ht="14.5" customHeight="1">
      <c r="A57" s="8"/>
      <c r="B57" s="8"/>
      <c r="C57" s="9">
        <v>278</v>
      </c>
      <c r="D57" s="9">
        <v>626</v>
      </c>
      <c r="E57" s="9">
        <f>$B$47/1000*D57</f>
        <v>10.1412</v>
      </c>
      <c r="F57" s="9">
        <v>2000</v>
      </c>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row>
    <row r="58" ht="14.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row>
    <row r="59" ht="14.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row>
    <row r="60" ht="14.5" customHeight="1">
      <c r="A60" t="s" s="7">
        <v>28</v>
      </c>
      <c r="B60" s="9">
        <v>44</v>
      </c>
      <c r="C60" s="8"/>
      <c r="D60" s="8"/>
      <c r="E60" s="8"/>
      <c r="F60" s="9">
        <v>0</v>
      </c>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row>
    <row r="61" ht="14.5" customHeight="1">
      <c r="A61" s="8"/>
      <c r="B61" s="8"/>
      <c r="C61" s="9">
        <v>887</v>
      </c>
      <c r="D61" s="9">
        <v>17000</v>
      </c>
      <c r="E61" s="9">
        <f>$B$60/1000*D61</f>
        <v>748</v>
      </c>
      <c r="F61" s="9">
        <v>25</v>
      </c>
      <c r="G61" s="8"/>
      <c r="H61" s="9">
        <f>0.5*44/1000*C61*C61</f>
        <v>17308.918</v>
      </c>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row>
    <row r="62" ht="14.5" customHeight="1">
      <c r="A62" s="8"/>
      <c r="B62" s="8"/>
      <c r="C62" s="10">
        <f>887*EXP((-F62*1.225*0.33*PI()*0.00635^2)/(2*0.044))</f>
        <v>836.856654906481</v>
      </c>
      <c r="D62" s="10">
        <f>0.5*$B$60/1000*C62*C62</f>
        <v>15407.2393389478</v>
      </c>
      <c r="E62" s="10">
        <f>$B$60/1000*D62</f>
        <v>677.918530913703</v>
      </c>
      <c r="F62" s="9">
        <v>100</v>
      </c>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row>
    <row r="63" ht="14.5" customHeight="1">
      <c r="A63" s="8"/>
      <c r="B63" s="8"/>
      <c r="C63" s="10">
        <f>887*EXP((-F63*1.225*0.33*PI()*0.00635^2)/(2*0.044))</f>
        <v>789.547982932655</v>
      </c>
      <c r="D63" s="10">
        <f>0.5*$B$60/1000*C63*C63</f>
        <v>13714.4923817665</v>
      </c>
      <c r="E63" s="10">
        <f>$B$60/1000*D63</f>
        <v>603.437664797726</v>
      </c>
      <c r="F63" s="9">
        <v>200</v>
      </c>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row>
    <row r="64" ht="14.5" customHeight="1">
      <c r="A64" s="8"/>
      <c r="B64" s="8"/>
      <c r="C64" s="10">
        <f>887*EXP((-F64*1.225*0.33*PI()*0.00635^2)/(2*0.044))</f>
        <v>744.913736059956</v>
      </c>
      <c r="D64" s="10">
        <f>0.5*$B$60/1000*C64*C64</f>
        <v>12207.7224317576</v>
      </c>
      <c r="E64" s="10">
        <f>$B$60/1000*D64</f>
        <v>537.139786997334</v>
      </c>
      <c r="F64" s="9">
        <v>300</v>
      </c>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row>
    <row r="65" ht="14.5" customHeight="1">
      <c r="A65" s="8"/>
      <c r="B65" s="8"/>
      <c r="C65" s="10">
        <f>887*EXP((-F65*1.225*0.33*PI()*0.00635^2)/(2*0.044))</f>
        <v>702.802725313443</v>
      </c>
      <c r="D65" s="10">
        <f>0.5*$B$60/1000*C65*C65</f>
        <v>10866.4967555761</v>
      </c>
      <c r="E65" s="10">
        <f>$B$60/1000*D65</f>
        <v>478.125857245348</v>
      </c>
      <c r="F65" s="9">
        <v>400</v>
      </c>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row>
    <row r="66" ht="14.5" customHeight="1">
      <c r="A66" s="8"/>
      <c r="B66" s="8"/>
      <c r="C66" s="10">
        <f>887*EXP((-F66*1.225*0.33*PI()*0.00635^2)/(2*0.044))</f>
        <v>556.856449501694</v>
      </c>
      <c r="D66" s="10">
        <f>0.5*$B$60/1000*C66*C66</f>
        <v>6821.960317735920</v>
      </c>
      <c r="E66" s="10">
        <f>$B$60/1000*D66</f>
        <v>300.166253980380</v>
      </c>
      <c r="F66" s="9">
        <v>800</v>
      </c>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row>
    <row r="67" ht="14.5" customHeight="1">
      <c r="A67" s="8"/>
      <c r="B67" s="8"/>
      <c r="C67" s="10">
        <f>887*EXP((-F67*1.225*0.33*PI()*0.00635^2)/(2*0.044))</f>
        <v>441.217847032872</v>
      </c>
      <c r="D67" s="10">
        <f>0.5*$B$60/1000*C67*C67</f>
        <v>4282.8101478871</v>
      </c>
      <c r="E67" s="10">
        <f>$B$60/1000*D67</f>
        <v>188.443646507032</v>
      </c>
      <c r="F67" s="9">
        <v>1200</v>
      </c>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row>
    <row r="68" ht="14.5" customHeight="1">
      <c r="A68" s="8"/>
      <c r="B68" s="8"/>
      <c r="C68" s="10">
        <f>887*EXP((-F68*1.225*0.33*PI()*0.00635^2)/(2*0.044))</f>
        <v>349.593128919540</v>
      </c>
      <c r="D68" s="10">
        <f>0.5*$B$60/1000*C68*C68</f>
        <v>2688.737827330590</v>
      </c>
      <c r="E68" s="10">
        <f>$B$60/1000*D68</f>
        <v>118.304464402546</v>
      </c>
      <c r="F68" s="9">
        <v>1600</v>
      </c>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row>
    <row r="69" ht="14.5" customHeight="1">
      <c r="A69" s="8"/>
      <c r="B69" s="8"/>
      <c r="C69" s="10">
        <f>887*EXP((-F69*1.225*0.33*PI()*0.00635^2)/(2*0.044))</f>
        <v>276.995494651078</v>
      </c>
      <c r="D69" s="10">
        <f>0.5*$B$60/1000*C69*C69</f>
        <v>1687.9830892539</v>
      </c>
      <c r="E69" s="10">
        <f>$B$60/1000*D69</f>
        <v>74.27125592717159</v>
      </c>
      <c r="F69" s="9">
        <v>2000</v>
      </c>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row>
    <row r="70" ht="14.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row>
    <row r="71" ht="14.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row>
    <row r="72" ht="14.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row>
    <row r="73" ht="14.5" customHeight="1">
      <c r="A73" t="s" s="7">
        <v>29</v>
      </c>
      <c r="B73" s="9">
        <v>48</v>
      </c>
      <c r="C73" s="9">
        <v>815</v>
      </c>
      <c r="D73" s="9">
        <v>16100</v>
      </c>
      <c r="E73" s="9">
        <f>$B$73/1000*D73</f>
        <v>772.8</v>
      </c>
      <c r="F73" s="9">
        <v>0</v>
      </c>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row>
    <row r="74" ht="14.5" customHeight="1">
      <c r="A74" s="8"/>
      <c r="B74" s="8"/>
      <c r="C74" s="9">
        <v>780</v>
      </c>
      <c r="D74" s="9">
        <v>14693</v>
      </c>
      <c r="E74" s="9">
        <f>$B$73/1000*D74</f>
        <v>705.264</v>
      </c>
      <c r="F74" s="9">
        <v>100</v>
      </c>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row>
    <row r="75" ht="14.5" customHeight="1">
      <c r="A75" s="8"/>
      <c r="B75" s="8"/>
      <c r="C75" s="9">
        <v>741</v>
      </c>
      <c r="D75" s="9">
        <v>13230</v>
      </c>
      <c r="E75" s="9">
        <f>$B$73/1000*D75</f>
        <v>635.04</v>
      </c>
      <c r="F75" s="9">
        <v>200</v>
      </c>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row>
    <row r="76" ht="14.5" customHeight="1">
      <c r="A76" s="8"/>
      <c r="B76" s="8"/>
      <c r="C76" s="9">
        <v>703</v>
      </c>
      <c r="D76" s="9">
        <v>11935</v>
      </c>
      <c r="E76" s="9">
        <f>$B$73/1000*D76</f>
        <v>572.88</v>
      </c>
      <c r="F76" s="9">
        <v>300</v>
      </c>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row>
    <row r="77" ht="14.5" customHeight="1">
      <c r="A77" s="8"/>
      <c r="B77" s="8"/>
      <c r="C77" s="9">
        <v>666</v>
      </c>
      <c r="D77" s="9">
        <v>11071</v>
      </c>
      <c r="E77" s="9">
        <f>$B$73/1000*D77</f>
        <v>531.408</v>
      </c>
      <c r="F77" s="9">
        <v>400</v>
      </c>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row>
    <row r="78" ht="14.5" customHeight="1">
      <c r="A78" s="8"/>
      <c r="B78" s="8"/>
      <c r="C78" s="9">
        <v>532</v>
      </c>
      <c r="D78" s="9">
        <v>6835</v>
      </c>
      <c r="E78" s="9">
        <f>$B$73/1000*D78</f>
        <v>328.08</v>
      </c>
      <c r="F78" s="9">
        <v>800</v>
      </c>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row>
    <row r="79" ht="14.5" customHeight="1">
      <c r="A79" s="8"/>
      <c r="B79" s="8"/>
      <c r="C79" s="9">
        <v>416</v>
      </c>
      <c r="D79" s="9">
        <v>4179</v>
      </c>
      <c r="E79" s="9">
        <f>$B$73/1000*D79</f>
        <v>200.592</v>
      </c>
      <c r="F79" s="9">
        <v>1200</v>
      </c>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row>
    <row r="80" ht="14.5" customHeight="1">
      <c r="A80" s="8"/>
      <c r="B80" s="8"/>
      <c r="C80" s="9">
        <v>328</v>
      </c>
      <c r="D80" s="9">
        <v>2598</v>
      </c>
      <c r="E80" s="9">
        <f>$B$73/1000*D80</f>
        <v>124.704</v>
      </c>
      <c r="F80" s="9">
        <v>1600</v>
      </c>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row>
    <row r="81" ht="14.5" customHeight="1">
      <c r="A81" s="8"/>
      <c r="B81" s="8"/>
      <c r="C81" s="9">
        <v>287</v>
      </c>
      <c r="D81" s="9">
        <v>1989</v>
      </c>
      <c r="E81" s="9">
        <f>$B$73/1000*D81</f>
        <v>95.47199999999999</v>
      </c>
      <c r="F81" s="9">
        <v>2000</v>
      </c>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row>
    <row r="82" ht="14.5" customHeight="1">
      <c r="A82" s="8"/>
      <c r="B82" s="8"/>
      <c r="C82" s="10">
        <f>C81*EXP((-F82*1.225*0.33*PI()*0.0027^2)/(2*0.048))</f>
        <v>195.141143309566</v>
      </c>
      <c r="D82" s="10">
        <f>0.5*$B$73/1000*C82*C82</f>
        <v>913.921579491950</v>
      </c>
      <c r="E82" s="10">
        <f>$B$73/1000*D82</f>
        <v>43.8682358156136</v>
      </c>
      <c r="F82" s="9">
        <v>4000</v>
      </c>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row>
    <row r="83" ht="14.5" customHeight="1">
      <c r="A83" s="8"/>
      <c r="B83" s="8"/>
      <c r="C83" s="10">
        <f>C82*EXP((-F83*1.225*0.33*PI()*0.0027^2)/(2*0.048))</f>
        <v>109.408047522384</v>
      </c>
      <c r="D83" s="10">
        <f>0.5*$B$73/1000*C83*C83</f>
        <v>287.282900703846</v>
      </c>
      <c r="E83" s="10">
        <f>$B$73/1000*D83</f>
        <v>13.7895792337846</v>
      </c>
      <c r="F83" s="9">
        <v>6000</v>
      </c>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row>
    <row r="84" ht="14.5" customHeight="1">
      <c r="A84" s="8"/>
      <c r="B84" s="8"/>
      <c r="C84" s="10">
        <f>C83*EXP((-F84*1.225*0.33*PI()*0.0027^2)/(2*0.048))</f>
        <v>55.701440605688</v>
      </c>
      <c r="D84" s="10">
        <f>0.5*$B$73/1000*C84*C84</f>
        <v>74.4636116531757</v>
      </c>
      <c r="E84" s="10">
        <f>$B$73/1000*D84</f>
        <v>3.57425335935243</v>
      </c>
      <c r="F84" s="9">
        <v>7000</v>
      </c>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row>
    <row r="85" ht="14.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row>
    <row r="86" ht="14.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row>
    <row r="87" ht="14.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row>
    <row r="88" ht="14.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row>
    <row r="89" ht="14.5" customHeight="1">
      <c r="A89" t="s" s="7">
        <v>30</v>
      </c>
      <c r="B89" s="9">
        <v>64</v>
      </c>
      <c r="C89" s="9">
        <v>990</v>
      </c>
      <c r="D89" s="9">
        <v>32000</v>
      </c>
      <c r="E89" s="9">
        <f>$B$89/1000*D89</f>
        <v>2048</v>
      </c>
      <c r="F89" s="9">
        <v>0</v>
      </c>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row>
    <row r="90" ht="14.5" customHeight="1">
      <c r="A90" s="8"/>
      <c r="B90" s="8"/>
      <c r="C90" s="10">
        <f>C89*EXP((-F90*1.225*0.33*PI()*0.0027^2)/(2*0.064))</f>
        <v>982.8651806927591</v>
      </c>
      <c r="D90" s="10">
        <f>0.5*$B$89/1000*C90*C90</f>
        <v>30912.7668293827</v>
      </c>
      <c r="E90" s="10">
        <f>$B$89/1000*D90</f>
        <v>1978.417077080490</v>
      </c>
      <c r="F90" s="9">
        <v>100</v>
      </c>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row>
    <row r="91" ht="14.5" customHeight="1">
      <c r="A91" s="8"/>
      <c r="B91" s="8"/>
      <c r="C91" s="10">
        <f>C90*EXP((-F91*1.225*0.33*PI()*0.0027^2)/(2*0.064))</f>
        <v>968.749431036194</v>
      </c>
      <c r="D91" s="10">
        <f>0.5*$B$89/1000*C91*C91</f>
        <v>30031.2147242544</v>
      </c>
      <c r="E91" s="10">
        <f>$B$89/1000*D91</f>
        <v>1921.997742352280</v>
      </c>
      <c r="F91" s="9">
        <v>200</v>
      </c>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row>
    <row r="92" ht="14.5" customHeight="1">
      <c r="A92" s="8"/>
      <c r="B92" s="8"/>
      <c r="C92" s="10">
        <f>C91*EXP((-F92*1.225*0.33*PI()*0.0027^2)/(2*0.064))</f>
        <v>947.955010235302</v>
      </c>
      <c r="D92" s="10">
        <f>0.5*$B$89/1000*C92*C92</f>
        <v>28755.7984457668</v>
      </c>
      <c r="E92" s="10">
        <f>$B$89/1000*D92</f>
        <v>1840.371100529080</v>
      </c>
      <c r="F92" s="9">
        <v>300</v>
      </c>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row>
    <row r="93" ht="14.5" customHeight="1">
      <c r="A93" s="8"/>
      <c r="B93" s="8"/>
      <c r="C93" s="10">
        <f>C92*EXP((-F93*1.225*0.33*PI()*0.0027^2)/(2*0.064))</f>
        <v>920.921786730844</v>
      </c>
      <c r="D93" s="10">
        <f>0.5*$B$89/1000*C93*C93</f>
        <v>27139.101992817</v>
      </c>
      <c r="E93" s="10">
        <f>$B$89/1000*D93</f>
        <v>1736.902527540290</v>
      </c>
      <c r="F93" s="9">
        <v>400</v>
      </c>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row>
    <row r="94" ht="14.5" customHeight="1">
      <c r="A94" s="8"/>
      <c r="B94" s="8"/>
      <c r="C94" s="10">
        <f>C93*EXP((-F94*1.225*0.33*PI()*0.0027^2)/(2*0.064))</f>
        <v>869.146107858289</v>
      </c>
      <c r="D94" s="10">
        <f>0.5*$B$89/1000*C94*C94</f>
        <v>24173.2786177668</v>
      </c>
      <c r="E94" s="10">
        <f>$B$89/1000*D94</f>
        <v>1547.089831537080</v>
      </c>
      <c r="F94" s="9">
        <v>800</v>
      </c>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row>
    <row r="95" ht="14.5" customHeight="1">
      <c r="A95" s="8"/>
      <c r="B95" s="8"/>
      <c r="C95" s="10">
        <f>C94*EXP((-F95*1.225*0.33*PI()*0.0027^2)/(2*0.064))</f>
        <v>796.889038666195</v>
      </c>
      <c r="D95" s="10">
        <f>0.5*$B$89/1000*C95*C95</f>
        <v>20321.0284782826</v>
      </c>
      <c r="E95" s="10">
        <f>$B$89/1000*D95</f>
        <v>1300.545822610090</v>
      </c>
      <c r="F95" s="9">
        <v>1200</v>
      </c>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row>
    <row r="96" ht="14.5" customHeight="1">
      <c r="A96" s="8"/>
      <c r="B96" s="8"/>
      <c r="C96" s="10">
        <f>C95*EXP((-F96*1.225*0.33*PI()*0.0027^2)/(2*0.064))</f>
        <v>709.803174925273</v>
      </c>
      <c r="D96" s="10">
        <f>0.5*$B$89/1000*C96*C96</f>
        <v>16122.2575082879</v>
      </c>
      <c r="E96" s="10">
        <f>$B$89/1000*D96</f>
        <v>1031.824480530430</v>
      </c>
      <c r="F96" s="9">
        <v>1600</v>
      </c>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row>
    <row r="97" ht="14.5" customHeight="1">
      <c r="A97" s="8"/>
      <c r="B97" s="8"/>
      <c r="C97" s="10">
        <f>C96*EXP((-F97*1.225*0.33*PI()*0.0027^2)/(2*0.064))</f>
        <v>614.204569658781</v>
      </c>
      <c r="D97" s="10">
        <f>0.5*$B$89/1000*C97*C97</f>
        <v>12071.9121084713</v>
      </c>
      <c r="E97" s="10">
        <f>$B$89/1000*D97</f>
        <v>772.602374942163</v>
      </c>
      <c r="F97" s="9">
        <v>2000</v>
      </c>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row>
    <row r="98" ht="14.5" customHeight="1">
      <c r="A98" s="8"/>
      <c r="B98" s="8"/>
      <c r="C98" s="10">
        <f>C97*EXP((-F98*1.225*0.33*PI()*0.0027^2)/(2*0.064))</f>
        <v>494.396857636132</v>
      </c>
      <c r="D98" s="10">
        <f>0.5*$B$89/1000*C98*C98</f>
        <v>7821.704090895420</v>
      </c>
      <c r="E98" s="10">
        <f>$B$89/1000*D98</f>
        <v>500.589061817307</v>
      </c>
      <c r="F98" s="9">
        <v>3000</v>
      </c>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row>
    <row r="99" ht="14.5" customHeight="1">
      <c r="A99" s="8"/>
      <c r="B99" s="8"/>
      <c r="C99" s="10">
        <f>C98*EXP((-F99*1.225*0.33*PI()*0.0027^2)/(2*0.064))</f>
        <v>370.1910485563</v>
      </c>
      <c r="D99" s="10">
        <f>0.5*$B$89/1000*C99*C99</f>
        <v>4385.325197798810</v>
      </c>
      <c r="E99" s="10">
        <f>$B$89/1000*D99</f>
        <v>280.660812659124</v>
      </c>
      <c r="F99" s="9">
        <v>4000</v>
      </c>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row>
    <row r="100" ht="14.5" customHeight="1">
      <c r="A100" s="8"/>
      <c r="B100" s="8"/>
      <c r="C100" s="10">
        <f>C99*EXP((-F100*1.225*0.33*PI()*0.0027^2)/(2*0.064))</f>
        <v>257.847946581146</v>
      </c>
      <c r="D100" s="10">
        <f>0.5*$B$89/1000*C100*C100</f>
        <v>2127.538033795630</v>
      </c>
      <c r="E100" s="10">
        <f>$B$89/1000*D100</f>
        <v>136.162434162920</v>
      </c>
      <c r="F100" s="9">
        <v>5000</v>
      </c>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row>
    <row r="101" ht="14.5" customHeight="1">
      <c r="A101" s="8"/>
      <c r="B101" s="8"/>
      <c r="C101" s="10">
        <f>C100*EXP((-F101*1.225*0.33*PI()*0.0027^2)/(2*0.064))</f>
        <v>167.066353737571</v>
      </c>
      <c r="D101" s="10">
        <f>0.5*$B$89/1000*C101*C101</f>
        <v>893.157329637351</v>
      </c>
      <c r="E101" s="10">
        <f>$B$89/1000*D101</f>
        <v>57.1620690967905</v>
      </c>
      <c r="F101" s="9">
        <v>6000</v>
      </c>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row>
    <row r="102" ht="14.5" customHeight="1">
      <c r="A102" s="8"/>
      <c r="B102" s="8"/>
      <c r="C102" s="10">
        <f>C101*EXP((-F102*1.225*0.33*PI()*0.0027^2)/(2*0.064))</f>
        <v>100.693599044611</v>
      </c>
      <c r="D102" s="10">
        <f>0.5*$B$89/1000*C102*C102</f>
        <v>324.454428433820</v>
      </c>
      <c r="E102" s="10">
        <f>$B$89/1000*D102</f>
        <v>20.7650834197645</v>
      </c>
      <c r="F102" s="9">
        <v>7000</v>
      </c>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row>
    <row r="103" ht="14.5" customHeight="1">
      <c r="A103" s="8"/>
      <c r="B103" s="8"/>
      <c r="C103" s="10">
        <f>C102*EXP((-F103*1.225*0.33*PI()*0.0027^2)/(2*0.064))</f>
        <v>56.4549837242479</v>
      </c>
      <c r="D103" s="10">
        <f>0.5*$B$89/1000*C103*C103</f>
        <v>101.989285993763</v>
      </c>
      <c r="E103" s="10">
        <f>$B$89/1000*D103</f>
        <v>6.52731430360083</v>
      </c>
      <c r="F103" s="9">
        <v>8000</v>
      </c>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row>
    <row r="104" ht="14.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row>
    <row r="105" ht="14.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row>
    <row r="106" ht="14.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row>
    <row r="107" ht="14.5" customHeight="1">
      <c r="A107" t="s" s="7">
        <v>15</v>
      </c>
      <c r="B107" s="9">
        <v>1.1</v>
      </c>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row>
    <row r="108" ht="14.5" customHeight="1">
      <c r="A108" s="8"/>
      <c r="B108" s="8"/>
      <c r="C108" s="9">
        <v>1000</v>
      </c>
      <c r="D108" s="10">
        <v>550</v>
      </c>
      <c r="E108" s="9">
        <v>1.1</v>
      </c>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row>
    <row r="109" ht="14.5" customHeight="1">
      <c r="A109" s="8"/>
      <c r="B109" s="8"/>
      <c r="C109" s="10">
        <v>825.896754611011</v>
      </c>
      <c r="D109" s="10">
        <v>375.157997102350</v>
      </c>
      <c r="E109" s="10">
        <v>0.9084864300721121</v>
      </c>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row>
    <row r="110" ht="14.5" customHeight="1">
      <c r="A110" s="8"/>
      <c r="B110" s="8"/>
      <c r="C110" s="10">
        <v>563.348676860360</v>
      </c>
      <c r="D110" s="10">
        <v>174.548952446175</v>
      </c>
      <c r="E110" s="10">
        <v>0.619683544546396</v>
      </c>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row>
    <row r="111" ht="14.5" customHeight="1">
      <c r="A111" s="8"/>
      <c r="B111" s="8"/>
      <c r="C111" s="10">
        <v>262.108024265541</v>
      </c>
      <c r="D111" s="10">
        <v>37.785339011412</v>
      </c>
      <c r="E111" s="10">
        <v>0.288318826692095</v>
      </c>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row>
    <row r="112" ht="14.5" customHeight="1">
      <c r="A112" s="8"/>
      <c r="B112" s="8"/>
      <c r="C112" s="10">
        <v>100.718468760519</v>
      </c>
      <c r="D112" s="10">
        <v>5.579315472205</v>
      </c>
      <c r="E112" s="10">
        <v>0.110790315636571</v>
      </c>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row>
    <row r="113" ht="14.5" customHeight="1">
      <c r="A113" s="8"/>
      <c r="B113" s="8"/>
      <c r="C113" s="10">
        <v>14.8719086766072</v>
      </c>
      <c r="D113" s="10"/>
      <c r="E113" s="10">
        <v>0.0163590995442679</v>
      </c>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row>
    <row r="114" ht="14.5" customHeight="1">
      <c r="A114" s="8"/>
      <c r="B114" s="8"/>
      <c r="C114" s="10">
        <v>0.324251430507966</v>
      </c>
      <c r="D114" s="10"/>
      <c r="E114" s="10">
        <v>0.000356676573558763</v>
      </c>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row>
    <row r="115" ht="14.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row>
    <row r="116" ht="14.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row>
    <row r="117" ht="14.5" customHeight="1">
      <c r="A117" t="s" s="7">
        <v>19</v>
      </c>
      <c r="B117" s="9">
        <v>2.84</v>
      </c>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row>
    <row r="118" ht="14.5" customHeight="1">
      <c r="A118" s="8"/>
      <c r="B118" s="8"/>
      <c r="C118" s="9">
        <v>1000</v>
      </c>
      <c r="D118" s="10">
        <v>1420</v>
      </c>
      <c r="E118" s="9">
        <v>2.84</v>
      </c>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row>
    <row r="119" ht="14.5" customHeight="1">
      <c r="A119" s="8"/>
      <c r="B119" s="8"/>
      <c r="C119" s="10">
        <v>863.5045850125611</v>
      </c>
      <c r="D119" s="10">
        <v>1058.809039039560</v>
      </c>
      <c r="E119" s="10">
        <v>2.45235302143567</v>
      </c>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row>
    <row r="120" ht="14.5" customHeight="1">
      <c r="A120" s="8"/>
      <c r="B120" s="8"/>
      <c r="C120" s="10">
        <v>745.640168337715</v>
      </c>
      <c r="D120" s="10">
        <v>789.490550106948</v>
      </c>
      <c r="E120" s="10">
        <v>2.11761807807911</v>
      </c>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row>
    <row r="121" ht="14.5" customHeight="1">
      <c r="A121" s="8"/>
      <c r="B121" s="8"/>
      <c r="C121" s="10">
        <v>555.979260638696</v>
      </c>
      <c r="D121" s="10">
        <v>438.940372329699</v>
      </c>
      <c r="E121" s="10">
        <v>1.5789811002139</v>
      </c>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row>
    <row r="122" ht="14.5" customHeight="1">
      <c r="A122" s="8"/>
      <c r="B122" s="8"/>
      <c r="C122" s="10">
        <v>480.090640733408</v>
      </c>
      <c r="D122" s="10">
        <v>327.291573114136</v>
      </c>
      <c r="E122" s="10">
        <v>1.36345741968288</v>
      </c>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row>
    <row r="123" ht="14.5" customHeight="1">
      <c r="A123" s="8"/>
      <c r="B123" s="8"/>
      <c r="C123" s="10">
        <v>230.487023319814</v>
      </c>
      <c r="D123" s="10">
        <v>75.4364604447364</v>
      </c>
      <c r="E123" s="10">
        <v>0.654583146228272</v>
      </c>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row>
    <row r="124" ht="14.5" customHeight="1">
      <c r="A124" s="8"/>
      <c r="B124" s="8"/>
      <c r="C124" s="10">
        <v>53.1242679188284</v>
      </c>
      <c r="D124" s="10">
        <v>4.00750673551427</v>
      </c>
      <c r="E124" s="10">
        <v>0.150872920889473</v>
      </c>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row>
    <row r="125" ht="14.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row>
    <row r="126" ht="14.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row>
    <row r="127" ht="14.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row>
    <row r="128" ht="14.5" customHeight="1">
      <c r="A128" s="8"/>
      <c r="B128" s="8"/>
      <c r="C128" t="s" s="7">
        <v>14</v>
      </c>
      <c r="D128" t="s" s="7">
        <v>9</v>
      </c>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row>
    <row r="129" ht="14.5" customHeight="1">
      <c r="A129" t="s" s="7">
        <v>22</v>
      </c>
      <c r="B129" s="9">
        <v>13.39</v>
      </c>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row>
    <row r="130" ht="14.5" customHeight="1">
      <c r="A130" s="8"/>
      <c r="B130" s="8"/>
      <c r="C130" s="9">
        <v>1000</v>
      </c>
      <c r="D130" s="10">
        <v>6695</v>
      </c>
      <c r="E130" s="9">
        <v>13.39</v>
      </c>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row>
    <row r="131" ht="14.5" customHeight="1">
      <c r="A131" s="8"/>
      <c r="B131" s="8"/>
      <c r="C131" s="10">
        <v>916.751463750290</v>
      </c>
      <c r="D131" s="10">
        <v>5626.700583900160</v>
      </c>
      <c r="E131" s="10">
        <v>12.2753020996164</v>
      </c>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row>
    <row r="132" ht="14.5" customHeight="1">
      <c r="A132" s="8"/>
      <c r="B132" s="8"/>
      <c r="C132" s="10">
        <v>840.433246288299</v>
      </c>
      <c r="D132" s="10">
        <v>4728.866237619480</v>
      </c>
      <c r="E132" s="10">
        <v>11.2534011678003</v>
      </c>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row>
    <row r="133" ht="14.5" customHeight="1">
      <c r="A133" s="8"/>
      <c r="B133" s="8"/>
      <c r="C133" s="10">
        <v>706.328041466688</v>
      </c>
      <c r="D133" s="10">
        <v>3340.130827975710</v>
      </c>
      <c r="E133" s="10">
        <v>9.45773247523895</v>
      </c>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row>
    <row r="134" ht="14.5" customHeight="1">
      <c r="A134" s="8"/>
      <c r="B134" s="8"/>
      <c r="C134" s="10">
        <v>647.527265902461</v>
      </c>
      <c r="D134" s="10">
        <v>2807.156994783240</v>
      </c>
      <c r="E134" s="10">
        <v>8.670390090433949</v>
      </c>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row>
    <row r="135" ht="14.5" customHeight="1">
      <c r="A135" s="8"/>
      <c r="B135" s="8"/>
      <c r="C135" s="10">
        <v>419.291560087117</v>
      </c>
      <c r="D135" s="10">
        <v>1177.017235752130</v>
      </c>
      <c r="E135" s="10">
        <v>5.6143139895665</v>
      </c>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row>
    <row r="136" ht="14.5" customHeight="1">
      <c r="A136" s="8"/>
      <c r="B136" s="8"/>
      <c r="C136" s="10">
        <v>175.805412360288</v>
      </c>
      <c r="D136" s="10">
        <v>206.926000486569</v>
      </c>
      <c r="E136" s="10">
        <v>2.35403447150426</v>
      </c>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row>
    <row r="137" ht="14.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row>
    <row r="138" ht="14.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row>
    <row r="139" ht="14.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row>
    <row r="140" ht="14.5" customHeight="1">
      <c r="A140" s="8"/>
      <c r="B140" s="8"/>
      <c r="C140" t="s" s="7">
        <v>14</v>
      </c>
      <c r="D140" t="s" s="7">
        <v>9</v>
      </c>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row>
    <row r="141" ht="14.5" customHeight="1">
      <c r="A141" t="s" s="7">
        <v>24</v>
      </c>
      <c r="B141" s="9">
        <v>52.73</v>
      </c>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row>
    <row r="142" ht="14.5" customHeight="1">
      <c r="A142" s="8"/>
      <c r="B142" s="8"/>
      <c r="C142" s="9">
        <v>1000</v>
      </c>
      <c r="D142" s="10">
        <v>26365</v>
      </c>
      <c r="E142" s="9">
        <v>52.73</v>
      </c>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row>
    <row r="143" ht="14.5" customHeight="1">
      <c r="A143" s="8"/>
      <c r="B143" s="8"/>
      <c r="C143" s="10">
        <v>884.121617196428</v>
      </c>
      <c r="D143" s="10">
        <v>20608.7568112525</v>
      </c>
      <c r="E143" s="10">
        <v>46.6197328747676</v>
      </c>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row>
    <row r="144" ht="14.5" customHeight="1">
      <c r="A144" s="8"/>
      <c r="B144" s="8"/>
      <c r="C144" s="10">
        <v>781.6710339940259</v>
      </c>
      <c r="D144" s="10">
        <v>16109.2682459832</v>
      </c>
      <c r="E144" s="10">
        <v>41.217513622505</v>
      </c>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row>
    <row r="145" ht="14.5" customHeight="1">
      <c r="A145" s="8"/>
      <c r="B145" s="8"/>
      <c r="C145" s="10">
        <v>611.009605385290</v>
      </c>
      <c r="D145" s="10">
        <v>9842.917634023959</v>
      </c>
      <c r="E145" s="10">
        <v>32.2185364919663</v>
      </c>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row>
    <row r="146" ht="14.5" customHeight="1">
      <c r="A146" s="8"/>
      <c r="B146" s="8"/>
      <c r="C146" s="10">
        <v>540.206800435794</v>
      </c>
      <c r="D146" s="10">
        <v>7693.923604505560</v>
      </c>
      <c r="E146" s="10">
        <v>28.4851045869794</v>
      </c>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row>
    <row r="147" ht="14.5" customHeight="1">
      <c r="A147" s="8"/>
      <c r="B147" s="8"/>
      <c r="C147" s="10">
        <v>291.823387237078</v>
      </c>
      <c r="D147" s="10">
        <v>2245.266847410120</v>
      </c>
      <c r="E147" s="10">
        <v>15.3878472090111</v>
      </c>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row>
    <row r="148" ht="14.5" customHeight="1">
      <c r="A148" s="8"/>
      <c r="B148" s="8"/>
      <c r="C148" s="10">
        <v>85.1608893385215</v>
      </c>
      <c r="D148" s="10">
        <v>191.208921527744</v>
      </c>
      <c r="E148" s="10">
        <v>4.49053369482024</v>
      </c>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AD59"/>
  <sheetViews>
    <sheetView workbookViewId="0" showGridLines="0" defaultGridColor="1"/>
  </sheetViews>
  <sheetFormatPr defaultColWidth="10.8333" defaultRowHeight="14.5" customHeight="1" outlineLevelRow="0" outlineLevelCol="0"/>
  <cols>
    <col min="1" max="2" width="10.8516" style="11" customWidth="1"/>
    <col min="3" max="3" width="11.8516" style="11" customWidth="1"/>
    <col min="4" max="30" width="10.8516" style="11" customWidth="1"/>
    <col min="31" max="16384" width="10.8516" style="11" customWidth="1"/>
  </cols>
  <sheetData>
    <row r="1" ht="14.5" customHeight="1">
      <c r="A1" t="s" s="7">
        <v>32</v>
      </c>
      <c r="B1" t="s" s="7">
        <v>33</v>
      </c>
      <c r="C1" s="8"/>
      <c r="D1" s="8"/>
      <c r="E1" s="8"/>
      <c r="F1" s="8"/>
      <c r="G1" s="8"/>
      <c r="H1" s="8"/>
      <c r="I1" s="8"/>
      <c r="J1" s="8"/>
      <c r="K1" s="8"/>
      <c r="L1" s="8"/>
      <c r="M1" s="8"/>
      <c r="N1" s="8"/>
      <c r="O1" s="8"/>
      <c r="P1" s="8"/>
      <c r="Q1" s="8"/>
      <c r="R1" s="8"/>
      <c r="S1" s="8"/>
      <c r="T1" s="8"/>
      <c r="U1" s="8"/>
      <c r="V1" s="8"/>
      <c r="W1" s="8"/>
      <c r="X1" s="8"/>
      <c r="Y1" s="8"/>
      <c r="Z1" s="8"/>
      <c r="AA1" s="8"/>
      <c r="AB1" s="8"/>
      <c r="AC1" s="8"/>
      <c r="AD1" s="8"/>
    </row>
    <row r="2" ht="14.5" customHeight="1">
      <c r="A2" s="9">
        <v>5.56</v>
      </c>
      <c r="B2" s="9">
        <v>1.1</v>
      </c>
      <c r="C2" s="8"/>
      <c r="D2" s="8"/>
      <c r="E2" s="8"/>
      <c r="F2" s="8"/>
      <c r="G2" s="8"/>
      <c r="H2" s="8"/>
      <c r="I2" s="8"/>
      <c r="J2" s="8"/>
      <c r="K2" s="8"/>
      <c r="L2" s="8"/>
      <c r="M2" s="8"/>
      <c r="N2" s="8"/>
      <c r="O2" s="8"/>
      <c r="P2" s="8"/>
      <c r="Q2" s="8"/>
      <c r="R2" s="8"/>
      <c r="S2" s="8"/>
      <c r="T2" s="8"/>
      <c r="U2" s="8"/>
      <c r="V2" s="8"/>
      <c r="W2" s="8"/>
      <c r="X2" s="8"/>
      <c r="Y2" s="8"/>
      <c r="Z2" s="8"/>
      <c r="AA2" s="8"/>
      <c r="AB2" s="8"/>
      <c r="AC2" s="8"/>
      <c r="AD2" s="8"/>
    </row>
    <row r="3" ht="14.5" customHeight="1">
      <c r="A3" s="9">
        <v>7.62</v>
      </c>
      <c r="B3" s="9">
        <v>2.84</v>
      </c>
      <c r="C3" s="8"/>
      <c r="D3" s="8"/>
      <c r="E3" s="8"/>
      <c r="F3" s="8"/>
      <c r="G3" s="8"/>
      <c r="H3" s="8"/>
      <c r="I3" s="8"/>
      <c r="J3" s="8"/>
      <c r="K3" s="8"/>
      <c r="L3" s="8"/>
      <c r="M3" s="8"/>
      <c r="N3" s="8"/>
      <c r="O3" s="8"/>
      <c r="P3" s="8"/>
      <c r="Q3" s="8"/>
      <c r="R3" s="8"/>
      <c r="S3" s="8"/>
      <c r="T3" s="8"/>
      <c r="U3" s="8"/>
      <c r="V3" s="8"/>
      <c r="W3" s="8"/>
      <c r="X3" s="8"/>
      <c r="Y3" s="8"/>
      <c r="Z3" s="8"/>
      <c r="AA3" s="8"/>
      <c r="AB3" s="8"/>
      <c r="AC3" s="8"/>
      <c r="AD3" s="8"/>
    </row>
    <row r="4" ht="14.5" customHeight="1">
      <c r="A4" s="9">
        <v>12.7</v>
      </c>
      <c r="B4" s="9">
        <v>13.39</v>
      </c>
      <c r="C4" s="8"/>
      <c r="D4" s="8"/>
      <c r="E4" s="8"/>
      <c r="F4" s="8"/>
      <c r="G4" s="8"/>
      <c r="H4" s="8"/>
      <c r="I4" s="8"/>
      <c r="J4" s="8"/>
      <c r="K4" s="8"/>
      <c r="L4" s="8"/>
      <c r="M4" s="8"/>
      <c r="N4" s="8"/>
      <c r="O4" s="8"/>
      <c r="P4" s="8"/>
      <c r="Q4" s="8"/>
      <c r="R4" s="8"/>
      <c r="S4" s="8"/>
      <c r="T4" s="8"/>
      <c r="U4" s="8"/>
      <c r="V4" s="8"/>
      <c r="W4" s="8"/>
      <c r="X4" s="8"/>
      <c r="Y4" s="8"/>
      <c r="Z4" s="8"/>
      <c r="AA4" s="8"/>
      <c r="AB4" s="8"/>
      <c r="AC4" s="8"/>
      <c r="AD4" s="8"/>
    </row>
    <row r="5" ht="14.5" customHeight="1">
      <c r="A5" s="9">
        <v>20</v>
      </c>
      <c r="B5" s="9">
        <v>52.73</v>
      </c>
      <c r="C5" s="8"/>
      <c r="D5" s="8"/>
      <c r="E5" s="8"/>
      <c r="F5" s="8"/>
      <c r="G5" s="8"/>
      <c r="H5" s="8"/>
      <c r="I5" s="8"/>
      <c r="J5" s="8"/>
      <c r="K5" s="8"/>
      <c r="L5" s="8"/>
      <c r="M5" s="8"/>
      <c r="N5" s="8"/>
      <c r="O5" s="8"/>
      <c r="P5" s="8"/>
      <c r="Q5" s="8"/>
      <c r="R5" s="8"/>
      <c r="S5" s="8"/>
      <c r="T5" s="8"/>
      <c r="U5" s="8"/>
      <c r="V5" s="8"/>
      <c r="W5" s="8"/>
      <c r="X5" s="8"/>
      <c r="Y5" s="8"/>
      <c r="Z5" s="8"/>
      <c r="AA5" s="8"/>
      <c r="AB5" s="8"/>
      <c r="AC5" s="8"/>
      <c r="AD5" s="8"/>
    </row>
    <row r="6" ht="14.5" customHeight="1">
      <c r="A6" s="8"/>
      <c r="B6" t="s" s="7">
        <v>34</v>
      </c>
      <c r="C6" s="8"/>
      <c r="D6" s="8"/>
      <c r="E6" s="8"/>
      <c r="F6" s="8"/>
      <c r="G6" s="8"/>
      <c r="H6" s="8"/>
      <c r="I6" s="8"/>
      <c r="J6" s="8"/>
      <c r="K6" s="8"/>
      <c r="L6" s="8"/>
      <c r="M6" s="8"/>
      <c r="N6" s="8"/>
      <c r="O6" s="8"/>
      <c r="P6" s="8"/>
      <c r="Q6" s="8"/>
      <c r="R6" s="8"/>
      <c r="S6" s="8"/>
      <c r="T6" s="8"/>
      <c r="U6" s="8"/>
      <c r="V6" s="8"/>
      <c r="W6" s="8"/>
      <c r="X6" s="8"/>
      <c r="Y6" s="8"/>
      <c r="Z6" s="8"/>
      <c r="AA6" s="8"/>
      <c r="AB6" s="8"/>
      <c r="AC6" s="8"/>
      <c r="AD6" s="8"/>
    </row>
    <row r="7" ht="14.5" customHeight="1">
      <c r="A7" s="8"/>
      <c r="B7" s="8"/>
      <c r="C7" s="8"/>
      <c r="D7" s="8"/>
      <c r="E7" s="8"/>
      <c r="F7" s="8"/>
      <c r="G7" s="8"/>
      <c r="H7" s="8"/>
      <c r="I7" s="8"/>
      <c r="J7" s="8"/>
      <c r="K7" s="8"/>
      <c r="L7" s="8"/>
      <c r="M7" s="8"/>
      <c r="N7" s="8"/>
      <c r="O7" s="8"/>
      <c r="P7" s="8"/>
      <c r="Q7" s="8"/>
      <c r="R7" s="8"/>
      <c r="S7" s="8"/>
      <c r="T7" s="8"/>
      <c r="U7" s="8"/>
      <c r="V7" s="8"/>
      <c r="W7" s="8"/>
      <c r="X7" s="8"/>
      <c r="Y7" s="8"/>
      <c r="Z7" s="8"/>
      <c r="AA7" s="8"/>
      <c r="AB7" s="8"/>
      <c r="AC7" s="8"/>
      <c r="AD7" s="8"/>
    </row>
    <row r="8" ht="14.5" customHeight="1">
      <c r="A8" s="8"/>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4.5" customHeight="1">
      <c r="A9" s="8"/>
      <c r="B9" s="8"/>
      <c r="C9" s="8"/>
      <c r="D9" s="8"/>
      <c r="E9" s="8"/>
      <c r="F9" s="8"/>
      <c r="G9" s="8"/>
      <c r="H9" s="8"/>
      <c r="I9" s="8"/>
      <c r="J9" s="8"/>
      <c r="K9" s="8"/>
      <c r="L9" s="8"/>
      <c r="M9" s="8"/>
      <c r="N9" s="8"/>
      <c r="O9" s="8"/>
      <c r="P9" s="8"/>
      <c r="Q9" s="8"/>
      <c r="R9" s="8"/>
      <c r="S9" s="8"/>
      <c r="T9" s="8"/>
      <c r="U9" s="8"/>
      <c r="V9" s="8"/>
      <c r="W9" s="8"/>
      <c r="X9" s="8"/>
      <c r="Y9" s="8"/>
      <c r="Z9" s="8"/>
      <c r="AA9" s="8"/>
      <c r="AB9" s="8"/>
      <c r="AC9" s="8"/>
      <c r="AD9" s="8"/>
    </row>
    <row r="10" ht="14.5" customHeight="1">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ht="14.5"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ht="14.5" customHeight="1">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ht="14.5" customHeight="1">
      <c r="A13" s="8"/>
      <c r="B13" s="8"/>
      <c r="C13" t="s" s="7">
        <v>14</v>
      </c>
      <c r="D13" t="s" s="7">
        <v>9</v>
      </c>
      <c r="E13" t="s" s="7">
        <v>11</v>
      </c>
      <c r="F13" s="8"/>
      <c r="G13" s="8"/>
      <c r="H13" s="8"/>
      <c r="I13" s="8"/>
      <c r="J13" s="8"/>
      <c r="K13" s="8"/>
      <c r="L13" s="8"/>
      <c r="M13" s="8"/>
      <c r="N13" s="8"/>
      <c r="O13" s="8"/>
      <c r="P13" s="8"/>
      <c r="Q13" s="8"/>
      <c r="R13" s="8"/>
      <c r="S13" s="8"/>
      <c r="T13" s="8"/>
      <c r="U13" s="8"/>
      <c r="V13" s="8"/>
      <c r="W13" s="8"/>
      <c r="X13" s="8"/>
      <c r="Y13" s="8"/>
      <c r="Z13" s="8"/>
      <c r="AA13" s="8"/>
      <c r="AB13" s="8"/>
      <c r="AC13" s="8"/>
      <c r="AD13" s="8"/>
    </row>
    <row r="14" ht="14.5" customHeight="1">
      <c r="A14" t="s" s="7">
        <v>15</v>
      </c>
      <c r="B14" s="9">
        <v>1.1</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ht="14.5" customHeight="1">
      <c r="A15" s="8"/>
      <c r="B15" s="8"/>
      <c r="C15" s="9">
        <v>2000</v>
      </c>
      <c r="D15" s="10">
        <f>0.5*1.1/1000*C15*C15</f>
        <v>2200</v>
      </c>
      <c r="E15" s="9">
        <v>0</v>
      </c>
      <c r="F15" s="8"/>
      <c r="G15" s="8"/>
      <c r="H15" s="8"/>
      <c r="I15" s="8"/>
      <c r="J15" s="8"/>
      <c r="K15" s="8"/>
      <c r="L15" s="8"/>
      <c r="M15" s="8"/>
      <c r="N15" s="8"/>
      <c r="O15" s="8"/>
      <c r="P15" s="8"/>
      <c r="Q15" s="8"/>
      <c r="R15" s="8"/>
      <c r="S15" s="8"/>
      <c r="T15" s="8"/>
      <c r="U15" s="8"/>
      <c r="V15" s="8"/>
      <c r="W15" s="8"/>
      <c r="X15" s="8"/>
      <c r="Y15" s="8"/>
      <c r="Z15" s="8"/>
      <c r="AA15" s="8"/>
      <c r="AB15" s="8"/>
      <c r="AC15" s="8"/>
      <c r="AD15" s="8"/>
    </row>
    <row r="16" ht="14.5" customHeight="1">
      <c r="A16" s="8"/>
      <c r="B16" s="8"/>
      <c r="C16" s="10">
        <f>C15*EXP((-F16*1.225*1.5*PI()*0.0027^2)/(2*0.0011))</f>
        <v>1651.793509222020</v>
      </c>
      <c r="D16" s="10">
        <f>0.5*1.1/1000*C16*C16</f>
        <v>1500.6319884094</v>
      </c>
      <c r="E16" s="9">
        <v>10</v>
      </c>
      <c r="F16" s="9">
        <f>E16-E15</f>
        <v>10</v>
      </c>
      <c r="G16" s="8"/>
      <c r="H16" s="8"/>
      <c r="I16" s="8"/>
      <c r="J16" s="8"/>
      <c r="K16" s="8"/>
      <c r="L16" s="8"/>
      <c r="M16" s="8"/>
      <c r="N16" s="8"/>
      <c r="O16" s="8"/>
      <c r="P16" s="8"/>
      <c r="Q16" s="8"/>
      <c r="R16" s="8"/>
      <c r="S16" s="8"/>
      <c r="T16" s="8"/>
      <c r="U16" s="8"/>
      <c r="V16" s="8"/>
      <c r="W16" s="8"/>
      <c r="X16" s="8"/>
      <c r="Y16" s="8"/>
      <c r="Z16" s="8"/>
      <c r="AA16" s="8"/>
      <c r="AB16" s="8"/>
      <c r="AC16" s="8"/>
      <c r="AD16" s="8"/>
    </row>
    <row r="17" ht="14.5" customHeight="1">
      <c r="A17" s="8"/>
      <c r="B17" s="8"/>
      <c r="C17" s="10">
        <f>C16*EXP((-F17*1.225*1.5*PI()*0.0027^2)/(2*0.0011))</f>
        <v>1364.210898554</v>
      </c>
      <c r="D17" s="10">
        <f>0.5*1.1/1000*C17*C17</f>
        <v>1023.589256653430</v>
      </c>
      <c r="E17" s="9">
        <v>20</v>
      </c>
      <c r="F17" s="9">
        <f>E17-E16</f>
        <v>10</v>
      </c>
      <c r="G17" s="8"/>
      <c r="H17" s="8"/>
      <c r="I17" s="8"/>
      <c r="J17" s="8"/>
      <c r="K17" s="8"/>
      <c r="L17" s="8"/>
      <c r="M17" s="8"/>
      <c r="N17" s="8"/>
      <c r="O17" s="8"/>
      <c r="P17" s="8"/>
      <c r="Q17" s="8"/>
      <c r="R17" s="8"/>
      <c r="S17" s="8"/>
      <c r="T17" s="8"/>
      <c r="U17" s="8"/>
      <c r="V17" s="8"/>
      <c r="W17" s="8"/>
      <c r="X17" s="8"/>
      <c r="Y17" s="8"/>
      <c r="Z17" s="8"/>
      <c r="AA17" s="8"/>
      <c r="AB17" s="8"/>
      <c r="AC17" s="8"/>
      <c r="AD17" s="8"/>
    </row>
    <row r="18" ht="14.5" customHeight="1">
      <c r="A18" s="8"/>
      <c r="B18" s="8"/>
      <c r="C18" s="10">
        <f>C17*EXP((-F18*1.225*1.5*PI()*0.0027^2)/(2*0.0011))</f>
        <v>930.535687866757</v>
      </c>
      <c r="D18" s="10">
        <f>0.5*1.1/1000*C18*C18</f>
        <v>476.243166516512</v>
      </c>
      <c r="E18" s="9">
        <v>40</v>
      </c>
      <c r="F18" s="9">
        <f>E18-E17</f>
        <v>20</v>
      </c>
      <c r="G18" s="8"/>
      <c r="H18" s="8"/>
      <c r="I18" s="8"/>
      <c r="J18" s="8"/>
      <c r="K18" s="8"/>
      <c r="L18" s="8"/>
      <c r="M18" s="8"/>
      <c r="N18" s="8"/>
      <c r="O18" s="8"/>
      <c r="P18" s="8"/>
      <c r="Q18" s="8"/>
      <c r="R18" s="8"/>
      <c r="S18" s="8"/>
      <c r="T18" s="8"/>
      <c r="U18" s="8"/>
      <c r="V18" s="8"/>
      <c r="W18" s="8"/>
      <c r="X18" s="8"/>
      <c r="Y18" s="8"/>
      <c r="Z18" s="8"/>
      <c r="AA18" s="8"/>
      <c r="AB18" s="8"/>
      <c r="AC18" s="8"/>
      <c r="AD18" s="8"/>
    </row>
    <row r="19" ht="14.5" customHeight="1">
      <c r="A19" s="8"/>
      <c r="B19" s="8"/>
      <c r="C19" s="10">
        <f>C18*EXP((-F19*1.225*1.5*PI()*0.0027^2)/(2*0.0011))</f>
        <v>768.526404658879</v>
      </c>
      <c r="D19" s="10">
        <f>0.5*1.1/1000*C19*C19</f>
        <v>324.848059061847</v>
      </c>
      <c r="E19" s="9">
        <v>50</v>
      </c>
      <c r="F19" s="9">
        <f>E19-E18</f>
        <v>10</v>
      </c>
      <c r="G19" s="8"/>
      <c r="H19" s="8"/>
      <c r="I19" s="8"/>
      <c r="J19" s="8"/>
      <c r="K19" s="8"/>
      <c r="L19" s="8"/>
      <c r="M19" s="8"/>
      <c r="N19" s="8"/>
      <c r="O19" s="8"/>
      <c r="P19" s="8"/>
      <c r="Q19" s="8"/>
      <c r="R19" s="8"/>
      <c r="S19" s="8"/>
      <c r="T19" s="8"/>
      <c r="U19" s="8"/>
      <c r="V19" s="8"/>
      <c r="W19" s="8"/>
      <c r="X19" s="8"/>
      <c r="Y19" s="8"/>
      <c r="Z19" s="8"/>
      <c r="AA19" s="8"/>
      <c r="AB19" s="8"/>
      <c r="AC19" s="8"/>
      <c r="AD19" s="8"/>
    </row>
    <row r="20" ht="14.5" customHeight="1">
      <c r="A20" s="8"/>
      <c r="B20" s="8"/>
      <c r="C20" s="10">
        <f>C19*EXP((-F20*1.225*1.5*PI()*0.0027^2)/(2*0.0011))</f>
        <v>295.316417328952</v>
      </c>
      <c r="D20" s="10">
        <f>0.5*1.1/1000*C20*C20</f>
        <v>47.9664824892043</v>
      </c>
      <c r="E20" s="9">
        <v>100</v>
      </c>
      <c r="F20" s="9">
        <f>E20-E19</f>
        <v>50</v>
      </c>
      <c r="G20" s="8"/>
      <c r="H20" s="8"/>
      <c r="I20" s="8"/>
      <c r="J20" s="8"/>
      <c r="K20" s="8"/>
      <c r="L20" s="8"/>
      <c r="M20" s="8"/>
      <c r="N20" s="8"/>
      <c r="O20" s="8"/>
      <c r="P20" s="8"/>
      <c r="Q20" s="8"/>
      <c r="R20" s="8"/>
      <c r="S20" s="8"/>
      <c r="T20" s="8"/>
      <c r="U20" s="8"/>
      <c r="V20" s="8"/>
      <c r="W20" s="8"/>
      <c r="X20" s="8"/>
      <c r="Y20" s="8"/>
      <c r="Z20" s="8"/>
      <c r="AA20" s="8"/>
      <c r="AB20" s="8"/>
      <c r="AC20" s="8"/>
      <c r="AD20" s="8"/>
    </row>
    <row r="21" ht="14.5" customHeight="1">
      <c r="A21" s="8"/>
      <c r="B21" s="8"/>
      <c r="C21" s="10">
        <f>C20*EXP((-F21*1.225*1.5*PI()*0.0027^2)/(2*0.0011))</f>
        <v>43.6058931720039</v>
      </c>
      <c r="D21" s="10">
        <f>0.5*1.1/1000*C21*C21</f>
        <v>1.04581065563052</v>
      </c>
      <c r="E21" s="9">
        <v>200</v>
      </c>
      <c r="F21" s="9">
        <f>E21-E20</f>
        <v>100</v>
      </c>
      <c r="G21" s="8"/>
      <c r="H21" s="8"/>
      <c r="I21" s="8"/>
      <c r="J21" s="8"/>
      <c r="K21" s="8"/>
      <c r="L21" s="8"/>
      <c r="M21" s="8"/>
      <c r="N21" s="8"/>
      <c r="O21" s="8"/>
      <c r="P21" s="8"/>
      <c r="Q21" s="8"/>
      <c r="R21" s="8"/>
      <c r="S21" s="8"/>
      <c r="T21" s="8"/>
      <c r="U21" s="8"/>
      <c r="V21" s="8"/>
      <c r="W21" s="8"/>
      <c r="X21" s="8"/>
      <c r="Y21" s="8"/>
      <c r="Z21" s="8"/>
      <c r="AA21" s="8"/>
      <c r="AB21" s="8"/>
      <c r="AC21" s="8"/>
      <c r="AD21" s="8"/>
    </row>
    <row r="22" ht="14.5" customHeight="1">
      <c r="A22" s="8"/>
      <c r="B22" s="8"/>
      <c r="C22" s="10"/>
      <c r="D22" s="10"/>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4.5" customHeight="1">
      <c r="A23" s="8"/>
      <c r="B23" s="8"/>
      <c r="C23" s="10"/>
      <c r="D23" s="10"/>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4.5" customHeight="1">
      <c r="A24" s="8"/>
      <c r="B24" s="8"/>
      <c r="C24" s="10"/>
      <c r="D24" s="10"/>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4.5" customHeight="1">
      <c r="A25" s="8"/>
      <c r="B25" s="8"/>
      <c r="C25" t="s" s="7">
        <v>14</v>
      </c>
      <c r="D25" t="s" s="7">
        <v>9</v>
      </c>
      <c r="E25" t="s" s="7">
        <v>11</v>
      </c>
      <c r="F25" s="8"/>
      <c r="G25" s="8"/>
      <c r="H25" s="8"/>
      <c r="I25" s="8"/>
      <c r="J25" s="8"/>
      <c r="K25" s="8"/>
      <c r="L25" s="8"/>
      <c r="M25" s="8"/>
      <c r="N25" s="8"/>
      <c r="O25" s="8"/>
      <c r="P25" s="8"/>
      <c r="Q25" s="8"/>
      <c r="R25" s="8"/>
      <c r="S25" s="8"/>
      <c r="T25" s="8"/>
      <c r="U25" s="8"/>
      <c r="V25" s="8"/>
      <c r="W25" s="8"/>
      <c r="X25" s="8"/>
      <c r="Y25" s="8"/>
      <c r="Z25" s="8"/>
      <c r="AA25" s="8"/>
      <c r="AB25" s="8"/>
      <c r="AC25" s="8"/>
      <c r="AD25" s="8"/>
    </row>
    <row r="26" ht="14.5" customHeight="1">
      <c r="A26" t="s" s="7">
        <v>19</v>
      </c>
      <c r="B26" s="9">
        <v>2.84</v>
      </c>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ht="14.5" customHeight="1">
      <c r="A27" s="8"/>
      <c r="B27" s="8"/>
      <c r="C27" s="9">
        <v>2000</v>
      </c>
      <c r="D27" s="10">
        <f>0.5*1.1/1000*C27*C27</f>
        <v>2200</v>
      </c>
      <c r="E27" s="9">
        <v>0</v>
      </c>
      <c r="F27" s="8"/>
      <c r="G27" s="8"/>
      <c r="H27" s="8"/>
      <c r="I27" s="8"/>
      <c r="J27" s="8"/>
      <c r="K27" s="8"/>
      <c r="L27" s="8"/>
      <c r="M27" s="8"/>
      <c r="N27" s="8"/>
      <c r="O27" s="8"/>
      <c r="P27" s="8"/>
      <c r="Q27" s="8"/>
      <c r="R27" s="8"/>
      <c r="S27" s="8"/>
      <c r="T27" s="8"/>
      <c r="U27" s="8"/>
      <c r="V27" s="8"/>
      <c r="W27" s="8"/>
      <c r="X27" s="8"/>
      <c r="Y27" s="8"/>
      <c r="Z27" s="8"/>
      <c r="AA27" s="8"/>
      <c r="AB27" s="8"/>
      <c r="AC27" s="8"/>
      <c r="AD27" s="8"/>
    </row>
    <row r="28" ht="14.5" customHeight="1">
      <c r="A28" s="8"/>
      <c r="B28" s="8"/>
      <c r="C28" s="10">
        <f>2000*EXP((-E28*1.225*1.5*PI()*0.0038^2)/(2*0.00284))</f>
        <v>1727.009170025120</v>
      </c>
      <c r="D28" s="10">
        <f>0.5*1.1/1000*C28*C28</f>
        <v>1640.408370342970</v>
      </c>
      <c r="E28" s="9">
        <v>10</v>
      </c>
      <c r="F28" s="9">
        <f>E28-E27</f>
        <v>10</v>
      </c>
      <c r="G28" s="8"/>
      <c r="H28" s="8"/>
      <c r="I28" s="8"/>
      <c r="J28" s="8"/>
      <c r="K28" s="8"/>
      <c r="L28" s="8"/>
      <c r="M28" s="8"/>
      <c r="N28" s="8"/>
      <c r="O28" s="8"/>
      <c r="P28" s="8"/>
      <c r="Q28" s="8"/>
      <c r="R28" s="8"/>
      <c r="S28" s="8"/>
      <c r="T28" s="8"/>
      <c r="U28" s="8"/>
      <c r="V28" s="8"/>
      <c r="W28" s="8"/>
      <c r="X28" s="8"/>
      <c r="Y28" s="8"/>
      <c r="Z28" s="8"/>
      <c r="AA28" s="8"/>
      <c r="AB28" s="8"/>
      <c r="AC28" s="8"/>
      <c r="AD28" s="8"/>
    </row>
    <row r="29" ht="14.5" customHeight="1">
      <c r="A29" s="8"/>
      <c r="B29" s="8"/>
      <c r="C29" s="10">
        <f>2000*EXP((-E29*1.225*1.5*PI()*0.0038^2)/(2*0.00284))</f>
        <v>1491.280336675430</v>
      </c>
      <c r="D29" s="10">
        <f>0.5*1.1/1000*C29*C29</f>
        <v>1223.154373405130</v>
      </c>
      <c r="E29" s="9">
        <v>20</v>
      </c>
      <c r="F29" s="9">
        <f>E29-E28</f>
        <v>10</v>
      </c>
      <c r="G29" s="8"/>
      <c r="H29" s="8"/>
      <c r="I29" s="8"/>
      <c r="J29" s="8"/>
      <c r="K29" s="8"/>
      <c r="L29" s="8"/>
      <c r="M29" s="8"/>
      <c r="N29" s="8"/>
      <c r="O29" s="8"/>
      <c r="P29" s="8"/>
      <c r="Q29" s="8"/>
      <c r="R29" s="8"/>
      <c r="S29" s="8"/>
      <c r="T29" s="8"/>
      <c r="U29" s="8"/>
      <c r="V29" s="8"/>
      <c r="W29" s="8"/>
      <c r="X29" s="8"/>
      <c r="Y29" s="8"/>
      <c r="Z29" s="8"/>
      <c r="AA29" s="8"/>
      <c r="AB29" s="8"/>
      <c r="AC29" s="8"/>
      <c r="AD29" s="8"/>
    </row>
    <row r="30" ht="14.5" customHeight="1">
      <c r="A30" s="8"/>
      <c r="B30" s="8"/>
      <c r="C30" s="10">
        <f>2000*EXP((-E30*1.225*1.5*PI()*0.0038^2)/(2*0.00284))</f>
        <v>1111.958521277390</v>
      </c>
      <c r="D30" s="10">
        <f>0.5*1.1/1000*C30*C30</f>
        <v>680.048464172770</v>
      </c>
      <c r="E30" s="9">
        <v>40</v>
      </c>
      <c r="F30" s="9">
        <f>E30-E29</f>
        <v>20</v>
      </c>
      <c r="G30" s="8"/>
      <c r="H30" s="8"/>
      <c r="I30" s="8"/>
      <c r="J30" s="8"/>
      <c r="K30" s="8"/>
      <c r="L30" s="8"/>
      <c r="M30" s="8"/>
      <c r="N30" s="8"/>
      <c r="O30" s="8"/>
      <c r="P30" s="8"/>
      <c r="Q30" s="8"/>
      <c r="R30" s="8"/>
      <c r="S30" s="8"/>
      <c r="T30" s="8"/>
      <c r="U30" s="8"/>
      <c r="V30" s="8"/>
      <c r="W30" s="8"/>
      <c r="X30" s="8"/>
      <c r="Y30" s="8"/>
      <c r="Z30" s="8"/>
      <c r="AA30" s="8"/>
      <c r="AB30" s="8"/>
      <c r="AC30" s="8"/>
      <c r="AD30" s="8"/>
    </row>
    <row r="31" ht="14.5" customHeight="1">
      <c r="A31" s="8"/>
      <c r="B31" s="8"/>
      <c r="C31" s="10">
        <f>2000*EXP((-E31*1.225*1.5*PI()*0.0038^2)/(2*0.00284))</f>
        <v>960.181281466815</v>
      </c>
      <c r="D31" s="10">
        <f>0.5*1.1/1000*C31*C31</f>
        <v>507.071451303590</v>
      </c>
      <c r="E31" s="9">
        <v>50</v>
      </c>
      <c r="F31" s="9">
        <f>E31-E30</f>
        <v>10</v>
      </c>
      <c r="G31" s="8"/>
      <c r="H31" s="8"/>
      <c r="I31" s="8"/>
      <c r="J31" s="8"/>
      <c r="K31" s="8"/>
      <c r="L31" s="8"/>
      <c r="M31" s="8"/>
      <c r="N31" s="8"/>
      <c r="O31" s="8"/>
      <c r="P31" s="8"/>
      <c r="Q31" s="8"/>
      <c r="R31" s="8"/>
      <c r="S31" s="8"/>
      <c r="T31" s="8"/>
      <c r="U31" s="8"/>
      <c r="V31" s="8"/>
      <c r="W31" s="8"/>
      <c r="X31" s="8"/>
      <c r="Y31" s="8"/>
      <c r="Z31" s="8"/>
      <c r="AA31" s="8"/>
      <c r="AB31" s="8"/>
      <c r="AC31" s="8"/>
      <c r="AD31" s="8"/>
    </row>
    <row r="32" ht="14.5" customHeight="1">
      <c r="A32" s="8"/>
      <c r="B32" s="8"/>
      <c r="C32" s="10">
        <f>2000*EXP((-E32*1.225*1.5*PI()*0.0038^2)/(2*0.00284))</f>
        <v>460.974046639628</v>
      </c>
      <c r="D32" s="10">
        <f>0.5*1.1/1000*C32*C32</f>
        <v>116.873389421423</v>
      </c>
      <c r="E32" s="9">
        <v>100</v>
      </c>
      <c r="F32" s="9">
        <f>E32-E31</f>
        <v>50</v>
      </c>
      <c r="G32" s="8"/>
      <c r="H32" s="8"/>
      <c r="I32" s="8"/>
      <c r="J32" s="8"/>
      <c r="K32" s="8"/>
      <c r="L32" s="8"/>
      <c r="M32" s="8"/>
      <c r="N32" s="8"/>
      <c r="O32" s="8"/>
      <c r="P32" s="8"/>
      <c r="Q32" s="8"/>
      <c r="R32" s="8"/>
      <c r="S32" s="8"/>
      <c r="T32" s="8"/>
      <c r="U32" s="8"/>
      <c r="V32" s="8"/>
      <c r="W32" s="8"/>
      <c r="X32" s="8"/>
      <c r="Y32" s="8"/>
      <c r="Z32" s="8"/>
      <c r="AA32" s="8"/>
      <c r="AB32" s="8"/>
      <c r="AC32" s="8"/>
      <c r="AD32" s="8"/>
    </row>
    <row r="33" ht="14.5" customHeight="1">
      <c r="A33" s="8"/>
      <c r="B33" s="8"/>
      <c r="C33" s="10">
        <f>2000*EXP((-E33*1.225*1.5*PI()*0.0038^2)/(2*0.00284))</f>
        <v>106.248535837657</v>
      </c>
      <c r="D33" s="10">
        <f>0.5*1.1/1000*C33*C33</f>
        <v>6.20881325220524</v>
      </c>
      <c r="E33" s="9">
        <v>200</v>
      </c>
      <c r="F33" s="9">
        <f>E33-E32</f>
        <v>100</v>
      </c>
      <c r="G33" s="8"/>
      <c r="H33" s="8"/>
      <c r="I33" s="8"/>
      <c r="J33" s="8"/>
      <c r="K33" s="8"/>
      <c r="L33" s="8"/>
      <c r="M33" s="8"/>
      <c r="N33" s="8"/>
      <c r="O33" s="8"/>
      <c r="P33" s="8"/>
      <c r="Q33" s="8"/>
      <c r="R33" s="8"/>
      <c r="S33" s="8"/>
      <c r="T33" s="8"/>
      <c r="U33" s="8"/>
      <c r="V33" s="8"/>
      <c r="W33" s="8"/>
      <c r="X33" s="8"/>
      <c r="Y33" s="8"/>
      <c r="Z33" s="8"/>
      <c r="AA33" s="8"/>
      <c r="AB33" s="8"/>
      <c r="AC33" s="8"/>
      <c r="AD33" s="8"/>
    </row>
    <row r="34" ht="14.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ht="14.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4.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4.5" customHeight="1">
      <c r="A37" s="8"/>
      <c r="B37" s="8"/>
      <c r="C37" t="s" s="7">
        <v>14</v>
      </c>
      <c r="D37" t="s" s="7">
        <v>9</v>
      </c>
      <c r="E37" t="s" s="7">
        <v>11</v>
      </c>
      <c r="F37" s="8"/>
      <c r="G37" s="8"/>
      <c r="H37" s="8"/>
      <c r="I37" s="8"/>
      <c r="J37" s="8"/>
      <c r="K37" s="8"/>
      <c r="L37" s="8"/>
      <c r="M37" s="8"/>
      <c r="N37" s="8"/>
      <c r="O37" s="8"/>
      <c r="P37" s="8"/>
      <c r="Q37" s="8"/>
      <c r="R37" s="8"/>
      <c r="S37" s="8"/>
      <c r="T37" s="8"/>
      <c r="U37" s="8"/>
      <c r="V37" s="8"/>
      <c r="W37" s="8"/>
      <c r="X37" s="8"/>
      <c r="Y37" s="8"/>
      <c r="Z37" s="8"/>
      <c r="AA37" s="8"/>
      <c r="AB37" s="8"/>
      <c r="AC37" s="8"/>
      <c r="AD37" s="8"/>
    </row>
    <row r="38" ht="14.5" customHeight="1">
      <c r="A38" t="s" s="7">
        <v>22</v>
      </c>
      <c r="B38" s="9">
        <v>13.39</v>
      </c>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4.5" customHeight="1">
      <c r="A39" s="8"/>
      <c r="B39" s="8"/>
      <c r="C39" s="9">
        <v>2000</v>
      </c>
      <c r="D39" s="10">
        <f>0.5*1.1/1000*C39*C39</f>
        <v>2200</v>
      </c>
      <c r="E39" s="9">
        <v>0</v>
      </c>
      <c r="F39" s="8"/>
      <c r="G39" s="8"/>
      <c r="H39" s="8"/>
      <c r="I39" s="8"/>
      <c r="J39" s="8"/>
      <c r="K39" s="8"/>
      <c r="L39" s="8"/>
      <c r="M39" s="8"/>
      <c r="N39" s="8"/>
      <c r="O39" s="8"/>
      <c r="P39" s="8"/>
      <c r="Q39" s="8"/>
      <c r="R39" s="8"/>
      <c r="S39" s="8"/>
      <c r="T39" s="8"/>
      <c r="U39" s="8"/>
      <c r="V39" s="8"/>
      <c r="W39" s="8"/>
      <c r="X39" s="8"/>
      <c r="Y39" s="8"/>
      <c r="Z39" s="8"/>
      <c r="AA39" s="8"/>
      <c r="AB39" s="8"/>
      <c r="AC39" s="8"/>
      <c r="AD39" s="8"/>
    </row>
    <row r="40" ht="14.5" customHeight="1">
      <c r="A40" s="8"/>
      <c r="B40" s="8"/>
      <c r="C40" s="10">
        <f>2000*EXP((-E40*1.225*1.5*PI()*0.00635^2)/(2*0.01339))</f>
        <v>1833.502927500580</v>
      </c>
      <c r="D40" s="10">
        <f>0.5*1.1/1000*C40*C40</f>
        <v>1848.953141834260</v>
      </c>
      <c r="E40" s="9">
        <v>10</v>
      </c>
      <c r="F40" s="9">
        <f>E40-E39</f>
        <v>10</v>
      </c>
      <c r="G40" s="8"/>
      <c r="H40" s="8"/>
      <c r="I40" s="8"/>
      <c r="J40" s="8"/>
      <c r="K40" s="8"/>
      <c r="L40" s="8"/>
      <c r="M40" s="8"/>
      <c r="N40" s="8"/>
      <c r="O40" s="8"/>
      <c r="P40" s="8"/>
      <c r="Q40" s="8"/>
      <c r="R40" s="8"/>
      <c r="S40" s="8"/>
      <c r="T40" s="8"/>
      <c r="U40" s="8"/>
      <c r="V40" s="8"/>
      <c r="W40" s="8"/>
      <c r="X40" s="8"/>
      <c r="Y40" s="8"/>
      <c r="Z40" s="8"/>
      <c r="AA40" s="8"/>
      <c r="AB40" s="8"/>
      <c r="AC40" s="8"/>
      <c r="AD40" s="8"/>
    </row>
    <row r="41" ht="14.5" customHeight="1">
      <c r="A41" s="8"/>
      <c r="B41" s="8"/>
      <c r="C41" s="10">
        <f>2000*EXP((-E41*1.225*1.5*PI()*0.00635^2)/(2*0.01339))</f>
        <v>1680.8664925766</v>
      </c>
      <c r="D41" s="10">
        <f>0.5*1.1/1000*C41*C41</f>
        <v>1553.921691226720</v>
      </c>
      <c r="E41" s="9">
        <v>20</v>
      </c>
      <c r="F41" s="9">
        <f>E41-E40</f>
        <v>10</v>
      </c>
      <c r="G41" s="8"/>
      <c r="H41" s="8"/>
      <c r="I41" s="8"/>
      <c r="J41" s="8"/>
      <c r="K41" s="8"/>
      <c r="L41" s="8"/>
      <c r="M41" s="8"/>
      <c r="N41" s="8"/>
      <c r="O41" s="8"/>
      <c r="P41" s="8"/>
      <c r="Q41" s="8"/>
      <c r="R41" s="8"/>
      <c r="S41" s="8"/>
      <c r="T41" s="8"/>
      <c r="U41" s="8"/>
      <c r="V41" s="8"/>
      <c r="W41" s="8"/>
      <c r="X41" s="8"/>
      <c r="Y41" s="8"/>
      <c r="Z41" s="8"/>
      <c r="AA41" s="8"/>
      <c r="AB41" s="8"/>
      <c r="AC41" s="8"/>
      <c r="AD41" s="8"/>
    </row>
    <row r="42" ht="14.5" customHeight="1">
      <c r="A42" s="8"/>
      <c r="B42" s="8"/>
      <c r="C42" s="10">
        <f>2000*EXP((-E42*1.225*1.5*PI()*0.00635^2)/(2*0.01339))</f>
        <v>1412.656082933380</v>
      </c>
      <c r="D42" s="10">
        <f>0.5*1.1/1000*C42*C42</f>
        <v>1097.578464756770</v>
      </c>
      <c r="E42" s="9">
        <v>40</v>
      </c>
      <c r="F42" s="9">
        <f>E42-E41</f>
        <v>20</v>
      </c>
      <c r="G42" s="8"/>
      <c r="H42" s="8"/>
      <c r="I42" s="8"/>
      <c r="J42" s="8"/>
      <c r="K42" s="8"/>
      <c r="L42" s="8"/>
      <c r="M42" s="8"/>
      <c r="N42" s="8"/>
      <c r="O42" s="8"/>
      <c r="P42" s="8"/>
      <c r="Q42" s="8"/>
      <c r="R42" s="8"/>
      <c r="S42" s="8"/>
      <c r="T42" s="8"/>
      <c r="U42" s="8"/>
      <c r="V42" s="8"/>
      <c r="W42" s="8"/>
      <c r="X42" s="8"/>
      <c r="Y42" s="8"/>
      <c r="Z42" s="8"/>
      <c r="AA42" s="8"/>
      <c r="AB42" s="8"/>
      <c r="AC42" s="8"/>
      <c r="AD42" s="8"/>
    </row>
    <row r="43" ht="14.5" customHeight="1">
      <c r="A43" s="8"/>
      <c r="B43" s="8"/>
      <c r="C43" s="10">
        <f>2000*EXP((-E43*1.225*1.5*PI()*0.00635^2)/(2*0.01339))</f>
        <v>1295.054531804920</v>
      </c>
      <c r="D43" s="10">
        <f>0.5*1.1/1000*C43*C43</f>
        <v>922.441432191653</v>
      </c>
      <c r="E43" s="9">
        <v>50</v>
      </c>
      <c r="F43" s="9">
        <f>E43-E42</f>
        <v>10</v>
      </c>
      <c r="G43" s="8"/>
      <c r="H43" s="8"/>
      <c r="I43" s="8"/>
      <c r="J43" s="8"/>
      <c r="K43" s="8"/>
      <c r="L43" s="8"/>
      <c r="M43" s="8"/>
      <c r="N43" s="8"/>
      <c r="O43" s="8"/>
      <c r="P43" s="8"/>
      <c r="Q43" s="8"/>
      <c r="R43" s="8"/>
      <c r="S43" s="8"/>
      <c r="T43" s="8"/>
      <c r="U43" s="8"/>
      <c r="V43" s="8"/>
      <c r="W43" s="8"/>
      <c r="X43" s="8"/>
      <c r="Y43" s="8"/>
      <c r="Z43" s="8"/>
      <c r="AA43" s="8"/>
      <c r="AB43" s="8"/>
      <c r="AC43" s="8"/>
      <c r="AD43" s="8"/>
    </row>
    <row r="44" ht="14.5" customHeight="1">
      <c r="A44" s="8"/>
      <c r="B44" s="8"/>
      <c r="C44" s="10">
        <f>2000*EXP((-E44*1.225*1.5*PI()*0.00635^2)/(2*0.01339))</f>
        <v>838.583120174234</v>
      </c>
      <c r="D44" s="10">
        <f>0.5*1.1/1000*C44*C44</f>
        <v>386.771907192635</v>
      </c>
      <c r="E44" s="9">
        <v>100</v>
      </c>
      <c r="F44" s="9">
        <f>E44-E43</f>
        <v>50</v>
      </c>
      <c r="G44" s="8"/>
      <c r="H44" s="8"/>
      <c r="I44" s="8"/>
      <c r="J44" s="8"/>
      <c r="K44" s="8"/>
      <c r="L44" s="8"/>
      <c r="M44" s="8"/>
      <c r="N44" s="8"/>
      <c r="O44" s="8"/>
      <c r="P44" s="8"/>
      <c r="Q44" s="8"/>
      <c r="R44" s="8"/>
      <c r="S44" s="8"/>
      <c r="T44" s="8"/>
      <c r="U44" s="8"/>
      <c r="V44" s="8"/>
      <c r="W44" s="8"/>
      <c r="X44" s="8"/>
      <c r="Y44" s="8"/>
      <c r="Z44" s="8"/>
      <c r="AA44" s="8"/>
      <c r="AB44" s="8"/>
      <c r="AC44" s="8"/>
      <c r="AD44" s="8"/>
    </row>
    <row r="45" ht="14.5" customHeight="1">
      <c r="A45" s="8"/>
      <c r="B45" s="8"/>
      <c r="C45" s="10">
        <f>2000*EXP((-E45*1.225*1.5*PI()*0.00635^2)/(2*0.01339))</f>
        <v>351.610824720577</v>
      </c>
      <c r="D45" s="10">
        <f>0.5*1.1/1000*C45*C45</f>
        <v>67.9965946333764</v>
      </c>
      <c r="E45" s="9">
        <v>200</v>
      </c>
      <c r="F45" s="9">
        <f>E45-E44</f>
        <v>100</v>
      </c>
      <c r="G45" s="8"/>
      <c r="H45" s="8"/>
      <c r="I45" s="8"/>
      <c r="J45" s="8"/>
      <c r="K45" s="8"/>
      <c r="L45" s="8"/>
      <c r="M45" s="8"/>
      <c r="N45" s="8"/>
      <c r="O45" s="8"/>
      <c r="P45" s="8"/>
      <c r="Q45" s="8"/>
      <c r="R45" s="8"/>
      <c r="S45" s="8"/>
      <c r="T45" s="8"/>
      <c r="U45" s="8"/>
      <c r="V45" s="8"/>
      <c r="W45" s="8"/>
      <c r="X45" s="8"/>
      <c r="Y45" s="8"/>
      <c r="Z45" s="8"/>
      <c r="AA45" s="8"/>
      <c r="AB45" s="8"/>
      <c r="AC45" s="8"/>
      <c r="AD45" s="8"/>
    </row>
    <row r="46" ht="14.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4.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4.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ht="14.5" customHeight="1">
      <c r="A49" s="8"/>
      <c r="B49" s="8"/>
      <c r="C49" t="s" s="7">
        <v>14</v>
      </c>
      <c r="D49" t="s" s="7">
        <v>9</v>
      </c>
      <c r="E49" t="s" s="7">
        <v>11</v>
      </c>
      <c r="F49" s="8"/>
      <c r="G49" s="8"/>
      <c r="H49" s="8"/>
      <c r="I49" s="8"/>
      <c r="J49" s="8"/>
      <c r="K49" s="8"/>
      <c r="L49" s="8"/>
      <c r="M49" s="8"/>
      <c r="N49" s="8"/>
      <c r="O49" s="8"/>
      <c r="P49" s="8"/>
      <c r="Q49" s="8"/>
      <c r="R49" s="8"/>
      <c r="S49" s="8"/>
      <c r="T49" s="8"/>
      <c r="U49" s="8"/>
      <c r="V49" s="8"/>
      <c r="W49" s="8"/>
      <c r="X49" s="8"/>
      <c r="Y49" s="8"/>
      <c r="Z49" s="8"/>
      <c r="AA49" s="8"/>
      <c r="AB49" s="8"/>
      <c r="AC49" s="8"/>
      <c r="AD49" s="8"/>
    </row>
    <row r="50" ht="14.5" customHeight="1">
      <c r="A50" t="s" s="7">
        <v>24</v>
      </c>
      <c r="B50" s="9">
        <v>52.73</v>
      </c>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ht="14.5" customHeight="1">
      <c r="A51" s="8"/>
      <c r="B51" s="8"/>
      <c r="C51" s="9">
        <v>2000</v>
      </c>
      <c r="D51" s="10">
        <f>0.5*1.1/1000*C51*C51</f>
        <v>2200</v>
      </c>
      <c r="E51" s="9">
        <v>0</v>
      </c>
      <c r="F51" s="8"/>
      <c r="G51" s="8"/>
      <c r="H51" s="8"/>
      <c r="I51" s="8"/>
      <c r="J51" s="8"/>
      <c r="K51" s="8"/>
      <c r="L51" s="8"/>
      <c r="M51" s="8"/>
      <c r="N51" s="8"/>
      <c r="O51" s="8"/>
      <c r="P51" s="8"/>
      <c r="Q51" s="8"/>
      <c r="R51" s="8"/>
      <c r="S51" s="8"/>
      <c r="T51" s="8"/>
      <c r="U51" s="8"/>
      <c r="V51" s="8"/>
      <c r="W51" s="8"/>
      <c r="X51" s="8"/>
      <c r="Y51" s="8"/>
      <c r="Z51" s="8"/>
      <c r="AA51" s="8"/>
      <c r="AB51" s="8"/>
      <c r="AC51" s="8"/>
      <c r="AD51" s="8"/>
    </row>
    <row r="52" ht="14.5" customHeight="1">
      <c r="A52" s="8"/>
      <c r="B52" s="8"/>
      <c r="C52" s="10">
        <f>2000*EXP((-E52*1.225*1.5*PI()*0.015^2)/(2*0.05273))</f>
        <v>1768.243234392860</v>
      </c>
      <c r="D52" s="10">
        <f>0.5*1.1/1000*C52*C52</f>
        <v>1719.676274786870</v>
      </c>
      <c r="E52" s="9">
        <v>10</v>
      </c>
      <c r="F52" s="9">
        <f>E52-E51</f>
        <v>10</v>
      </c>
      <c r="G52" s="8"/>
      <c r="H52" s="8"/>
      <c r="I52" s="8"/>
      <c r="J52" s="8"/>
      <c r="K52" s="8"/>
      <c r="L52" s="8"/>
      <c r="M52" s="8"/>
      <c r="N52" s="8"/>
      <c r="O52" s="8"/>
      <c r="P52" s="8"/>
      <c r="Q52" s="8"/>
      <c r="R52" s="8"/>
      <c r="S52" s="8"/>
      <c r="T52" s="8"/>
      <c r="U52" s="8"/>
      <c r="V52" s="8"/>
      <c r="W52" s="8"/>
      <c r="X52" s="8"/>
      <c r="Y52" s="8"/>
      <c r="Z52" s="8"/>
      <c r="AA52" s="8"/>
      <c r="AB52" s="8"/>
      <c r="AC52" s="8"/>
      <c r="AD52" s="8"/>
    </row>
    <row r="53" ht="14.5" customHeight="1">
      <c r="A53" s="8"/>
      <c r="B53" s="8"/>
      <c r="C53" s="10">
        <f>2000*EXP((-E53*1.225*1.5*PI()*0.015^2)/(2*0.05273))</f>
        <v>1563.342067988050</v>
      </c>
      <c r="D53" s="10">
        <f>0.5*1.1/1000*C53*C53</f>
        <v>1344.221131847630</v>
      </c>
      <c r="E53" s="9">
        <v>20</v>
      </c>
      <c r="F53" s="9">
        <f>E53-E52</f>
        <v>10</v>
      </c>
      <c r="G53" s="8"/>
      <c r="H53" s="8"/>
      <c r="I53" s="8"/>
      <c r="J53" s="8"/>
      <c r="K53" s="8"/>
      <c r="L53" s="8"/>
      <c r="M53" s="8"/>
      <c r="N53" s="8"/>
      <c r="O53" s="8"/>
      <c r="P53" s="8"/>
      <c r="Q53" s="8"/>
      <c r="R53" s="8"/>
      <c r="S53" s="8"/>
      <c r="T53" s="8"/>
      <c r="U53" s="8"/>
      <c r="V53" s="8"/>
      <c r="W53" s="8"/>
      <c r="X53" s="8"/>
      <c r="Y53" s="8"/>
      <c r="Z53" s="8"/>
      <c r="AA53" s="8"/>
      <c r="AB53" s="8"/>
      <c r="AC53" s="8"/>
      <c r="AD53" s="8"/>
    </row>
    <row r="54" ht="14.5" customHeight="1">
      <c r="A54" s="8"/>
      <c r="B54" s="8"/>
      <c r="C54" s="10">
        <f>2000*EXP((-E54*1.225*1.5*PI()*0.015^2)/(2*0.05273))</f>
        <v>1222.019210770580</v>
      </c>
      <c r="D54" s="10">
        <f>0.5*1.1/1000*C54*C54</f>
        <v>821.332023320793</v>
      </c>
      <c r="E54" s="9">
        <v>40</v>
      </c>
      <c r="F54" s="9">
        <f>E54-E53</f>
        <v>20</v>
      </c>
      <c r="G54" s="8"/>
      <c r="H54" s="8"/>
      <c r="I54" s="8"/>
      <c r="J54" s="8"/>
      <c r="K54" s="8"/>
      <c r="L54" s="8"/>
      <c r="M54" s="8"/>
      <c r="N54" s="8"/>
      <c r="O54" s="8"/>
      <c r="P54" s="8"/>
      <c r="Q54" s="8"/>
      <c r="R54" s="8"/>
      <c r="S54" s="8"/>
      <c r="T54" s="8"/>
      <c r="U54" s="8"/>
      <c r="V54" s="8"/>
      <c r="W54" s="8"/>
      <c r="X54" s="8"/>
      <c r="Y54" s="8"/>
      <c r="Z54" s="8"/>
      <c r="AA54" s="8"/>
      <c r="AB54" s="8"/>
      <c r="AC54" s="8"/>
      <c r="AD54" s="8"/>
    </row>
    <row r="55" ht="14.5" customHeight="1">
      <c r="A55" s="8"/>
      <c r="B55" s="8"/>
      <c r="C55" s="10">
        <f>2000*EXP((-E55*1.225*1.5*PI()*0.015^2)/(2*0.05273))</f>
        <v>1080.413600871590</v>
      </c>
      <c r="D55" s="10">
        <f>0.5*1.1/1000*C55*C55</f>
        <v>642.011451921574</v>
      </c>
      <c r="E55" s="9">
        <v>50</v>
      </c>
      <c r="F55" s="9">
        <f>E55-E54</f>
        <v>10</v>
      </c>
      <c r="G55" s="8"/>
      <c r="H55" s="8"/>
      <c r="I55" s="8"/>
      <c r="J55" s="8"/>
      <c r="K55" s="8"/>
      <c r="L55" s="8"/>
      <c r="M55" s="8"/>
      <c r="N55" s="8"/>
      <c r="O55" s="8"/>
      <c r="P55" s="8"/>
      <c r="Q55" s="8"/>
      <c r="R55" s="8"/>
      <c r="S55" s="8"/>
      <c r="T55" s="8"/>
      <c r="U55" s="8"/>
      <c r="V55" s="8"/>
      <c r="W55" s="8"/>
      <c r="X55" s="8"/>
      <c r="Y55" s="8"/>
      <c r="Z55" s="8"/>
      <c r="AA55" s="8"/>
      <c r="AB55" s="8"/>
      <c r="AC55" s="8"/>
      <c r="AD55" s="8"/>
    </row>
    <row r="56" ht="14.5" customHeight="1">
      <c r="A56" s="8"/>
      <c r="B56" s="8"/>
      <c r="C56" s="10">
        <f>2000*EXP((-E56*1.225*1.5*PI()*0.015^2)/(2*0.05273))</f>
        <v>583.646774474156</v>
      </c>
      <c r="D56" s="10">
        <f>0.5*1.1/1000*C56*C56</f>
        <v>187.353956544747</v>
      </c>
      <c r="E56" s="9">
        <v>100</v>
      </c>
      <c r="F56" s="9">
        <f>E56-E55</f>
        <v>50</v>
      </c>
      <c r="G56" s="8"/>
      <c r="H56" s="8"/>
      <c r="I56" s="8"/>
      <c r="J56" s="8"/>
      <c r="K56" s="8"/>
      <c r="L56" s="8"/>
      <c r="M56" s="8"/>
      <c r="N56" s="8"/>
      <c r="O56" s="8"/>
      <c r="P56" s="8"/>
      <c r="Q56" s="8"/>
      <c r="R56" s="8"/>
      <c r="S56" s="8"/>
      <c r="T56" s="8"/>
      <c r="U56" s="8"/>
      <c r="V56" s="8"/>
      <c r="W56" s="8"/>
      <c r="X56" s="8"/>
      <c r="Y56" s="8"/>
      <c r="Z56" s="8"/>
      <c r="AA56" s="8"/>
      <c r="AB56" s="8"/>
      <c r="AC56" s="8"/>
      <c r="AD56" s="8"/>
    </row>
    <row r="57" ht="14.5" customHeight="1">
      <c r="A57" s="8"/>
      <c r="B57" s="8"/>
      <c r="C57" s="10">
        <f>2000*EXP((-E57*1.225*1.5*PI()*0.015^2)/(2*0.05273))</f>
        <v>170.321778677043</v>
      </c>
      <c r="D57" s="10">
        <f>0.5*1.1/1000*C57*C57</f>
        <v>15.9552295604414</v>
      </c>
      <c r="E57" s="9">
        <v>200</v>
      </c>
      <c r="F57" s="9">
        <f>E57-E56</f>
        <v>100</v>
      </c>
      <c r="G57" s="8"/>
      <c r="H57" s="8"/>
      <c r="I57" s="8"/>
      <c r="J57" s="8"/>
      <c r="K57" s="8"/>
      <c r="L57" s="8"/>
      <c r="M57" s="8"/>
      <c r="N57" s="8"/>
      <c r="O57" s="8"/>
      <c r="P57" s="8"/>
      <c r="Q57" s="8"/>
      <c r="R57" s="8"/>
      <c r="S57" s="8"/>
      <c r="T57" s="8"/>
      <c r="U57" s="8"/>
      <c r="V57" s="8"/>
      <c r="W57" s="8"/>
      <c r="X57" s="8"/>
      <c r="Y57" s="8"/>
      <c r="Z57" s="8"/>
      <c r="AA57" s="8"/>
      <c r="AB57" s="8"/>
      <c r="AC57" s="8"/>
      <c r="AD57" s="8"/>
    </row>
    <row r="58" ht="14.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4.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